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jmartins\OneDrive - Universidade de Lisboa\Documentos\Clepsydra_ISA\"/>
    </mc:Choice>
  </mc:AlternateContent>
  <bookViews>
    <workbookView xWindow="1176" yWindow="1116" windowWidth="23748" windowHeight="14496"/>
  </bookViews>
  <sheets>
    <sheet name="Sheet2" sheetId="2" r:id="rId1"/>
    <sheet name="old" sheetId="1" r:id="rId2"/>
  </sheets>
  <definedNames>
    <definedName name="_xlnm._FilterDatabase" localSheetId="0" hidden="1">Sheet2!$A$20:$L$40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2" l="1"/>
  <c r="P26" i="2"/>
  <c r="P27" i="2"/>
  <c r="P29" i="2"/>
  <c r="P30" i="2"/>
  <c r="P31" i="2"/>
  <c r="P32" i="2"/>
  <c r="P33" i="2"/>
  <c r="P34" i="2"/>
  <c r="P35" i="2"/>
  <c r="P36" i="2"/>
  <c r="P37" i="2"/>
  <c r="P38" i="2"/>
  <c r="P39" i="2"/>
  <c r="P40" i="2"/>
  <c r="P21" i="2"/>
  <c r="R116" i="2" l="1"/>
  <c r="S116" i="2"/>
  <c r="R117" i="2"/>
  <c r="S117" i="2"/>
  <c r="R118" i="2"/>
  <c r="S118" i="2"/>
  <c r="R119" i="2"/>
  <c r="S119" i="2"/>
  <c r="R120" i="2"/>
  <c r="S120" i="2"/>
  <c r="R121" i="2"/>
  <c r="S121" i="2"/>
  <c r="R122" i="2"/>
  <c r="S122" i="2"/>
  <c r="S115" i="2"/>
  <c r="R115" i="2"/>
  <c r="L116" i="2"/>
  <c r="L117" i="2"/>
  <c r="L118" i="2"/>
  <c r="L119" i="2"/>
  <c r="L120" i="2"/>
  <c r="L115" i="2"/>
  <c r="K116" i="2"/>
  <c r="K117" i="2"/>
  <c r="K118" i="2"/>
  <c r="K119" i="2"/>
  <c r="K120" i="2"/>
  <c r="K115" i="2"/>
  <c r="D116" i="2"/>
  <c r="E116" i="2"/>
  <c r="D117" i="2"/>
  <c r="E117" i="2"/>
  <c r="D118" i="2"/>
  <c r="E118" i="2"/>
  <c r="D119" i="2"/>
  <c r="E119" i="2"/>
  <c r="D120" i="2"/>
  <c r="E120" i="2"/>
  <c r="E115" i="2"/>
  <c r="D115" i="2"/>
  <c r="L94" i="2" l="1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93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45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69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45" i="2"/>
</calcChain>
</file>

<file path=xl/sharedStrings.xml><?xml version="1.0" encoding="utf-8"?>
<sst xmlns="http://schemas.openxmlformats.org/spreadsheetml/2006/main" count="758" uniqueCount="95">
  <si>
    <t>poco</t>
  </si>
  <si>
    <t>n</t>
  </si>
  <si>
    <t>GWD_ant</t>
  </si>
  <si>
    <t>rr</t>
  </si>
  <si>
    <t>Eto</t>
  </si>
  <si>
    <t>caudal_</t>
  </si>
  <si>
    <t>caudal_ant</t>
  </si>
  <si>
    <t>418/15</t>
  </si>
  <si>
    <t>391/33</t>
  </si>
  <si>
    <t>377/94</t>
  </si>
  <si>
    <t>420/8</t>
  </si>
  <si>
    <t>420/9</t>
  </si>
  <si>
    <t>418/4</t>
  </si>
  <si>
    <t>432/68</t>
  </si>
  <si>
    <t>405/17</t>
  </si>
  <si>
    <t>404/69</t>
  </si>
  <si>
    <t>405/67</t>
  </si>
  <si>
    <t>420/12</t>
  </si>
  <si>
    <t>406/27</t>
  </si>
  <si>
    <t>330/183</t>
  </si>
  <si>
    <t>406/97</t>
  </si>
  <si>
    <t>443/924</t>
  </si>
  <si>
    <t>377/86</t>
  </si>
  <si>
    <t>341/17</t>
  </si>
  <si>
    <t>405/167</t>
  </si>
  <si>
    <r>
      <t xml:space="preserve">Correlação de </t>
    </r>
    <r>
      <rPr>
        <b/>
        <sz val="11"/>
        <color theme="1"/>
        <rFont val="Calibri"/>
        <family val="2"/>
        <scheme val="minor"/>
      </rPr>
      <t>Pearson</t>
    </r>
    <r>
      <rPr>
        <sz val="11"/>
        <color theme="1"/>
        <rFont val="Calibri"/>
        <family val="2"/>
        <scheme val="minor"/>
      </rPr>
      <t xml:space="preserve"> entre GWD (profundidade) e cada uma das variáveis</t>
    </r>
  </si>
  <si>
    <r>
      <t xml:space="preserve">Correlação de </t>
    </r>
    <r>
      <rPr>
        <b/>
        <sz val="11"/>
        <color theme="1"/>
        <rFont val="Calibri"/>
        <family val="2"/>
        <scheme val="minor"/>
      </rPr>
      <t>Spearman</t>
    </r>
    <r>
      <rPr>
        <sz val="11"/>
        <color theme="1"/>
        <rFont val="Calibri"/>
        <family val="2"/>
        <scheme val="minor"/>
      </rPr>
      <t xml:space="preserve"> entre GWD (profundidade) e cada uma das variáveis</t>
    </r>
  </si>
  <si>
    <t>Selecao de variáveis: critério R2 modificado</t>
  </si>
  <si>
    <t>R2_adj</t>
  </si>
  <si>
    <t>X</t>
  </si>
  <si>
    <t>Selecao de variáveis: critério R2 modificado (sem GWD_ant)</t>
  </si>
  <si>
    <t>SEM GWD_ant | apenas 3 variaveis</t>
  </si>
  <si>
    <t>R2</t>
  </si>
  <si>
    <t>391/437</t>
  </si>
  <si>
    <t>432/800</t>
  </si>
  <si>
    <t>444/317</t>
  </si>
  <si>
    <t>434/280</t>
  </si>
  <si>
    <t>432/855</t>
  </si>
  <si>
    <t>391/243</t>
  </si>
  <si>
    <t>444/85</t>
  </si>
  <si>
    <t>434/306</t>
  </si>
  <si>
    <t>342/78</t>
  </si>
  <si>
    <t>433/297</t>
  </si>
  <si>
    <t>405/15</t>
  </si>
  <si>
    <t>376/24</t>
  </si>
  <si>
    <t>390/208</t>
  </si>
  <si>
    <t>377/54</t>
  </si>
  <si>
    <t>420/105</t>
  </si>
  <si>
    <t>331/2</t>
  </si>
  <si>
    <t>377/56</t>
  </si>
  <si>
    <t>405/34</t>
  </si>
  <si>
    <t>391/312</t>
  </si>
  <si>
    <t>342/97</t>
  </si>
  <si>
    <t>377/84</t>
  </si>
  <si>
    <t>365/428</t>
  </si>
  <si>
    <t>444/318</t>
  </si>
  <si>
    <t>353/687</t>
  </si>
  <si>
    <t>377/59</t>
  </si>
  <si>
    <t>365/1076</t>
  </si>
  <si>
    <t>405/52</t>
  </si>
  <si>
    <t>353/346</t>
  </si>
  <si>
    <t>432/77</t>
  </si>
  <si>
    <t>391/403</t>
  </si>
  <si>
    <t>432/69</t>
  </si>
  <si>
    <t>329/6</t>
  </si>
  <si>
    <t>390/114</t>
  </si>
  <si>
    <t>391/245</t>
  </si>
  <si>
    <t>353/353</t>
  </si>
  <si>
    <t>378/129</t>
  </si>
  <si>
    <t>405/14</t>
  </si>
  <si>
    <t>365/233</t>
  </si>
  <si>
    <t>Poços com linhas completas de dados com lags 0, 1, 2</t>
  </si>
  <si>
    <t>eto</t>
  </si>
  <si>
    <t>caudal</t>
  </si>
  <si>
    <t>rr_lag1</t>
  </si>
  <si>
    <t>rr_lag2</t>
  </si>
  <si>
    <t>eto_lag1</t>
  </si>
  <si>
    <t>eto_lag2</t>
  </si>
  <si>
    <t>caudal_lag1</t>
  </si>
  <si>
    <t>caudal_lag2</t>
  </si>
  <si>
    <t>BEST R2_adj</t>
  </si>
  <si>
    <t>SECOND BEST R2_adj</t>
  </si>
  <si>
    <t>dif Best</t>
  </si>
  <si>
    <t>THIRD BEST R2_adj</t>
  </si>
  <si>
    <t>nvar</t>
  </si>
  <si>
    <t>5 variáveis:
rr+rr_lag1+eto_lag1+eto_lag2+caudal_lag2</t>
  </si>
  <si>
    <t>4 variáveis:
rr+rr_lag1+eto_lag1+caudal_lag2</t>
  </si>
  <si>
    <t>4 variáveis:
rr+rr_lag1+eto_lag2+caudal_lag2</t>
  </si>
  <si>
    <t>R2_adj Best</t>
  </si>
  <si>
    <r>
      <t xml:space="preserve">Poços que ficam </t>
    </r>
    <r>
      <rPr>
        <b/>
        <sz val="11"/>
        <color rgb="FF00B050"/>
        <rFont val="Calibri"/>
        <family val="2"/>
        <scheme val="minor"/>
      </rPr>
      <t>bem</t>
    </r>
    <r>
      <rPr>
        <sz val="11"/>
        <color theme="1"/>
        <rFont val="Calibri"/>
        <family val="2"/>
        <scheme val="minor"/>
      </rPr>
      <t xml:space="preserve"> com 5 variáveis:
rr+rr_lag1+</t>
    </r>
    <r>
      <rPr>
        <sz val="11"/>
        <color rgb="FFFF0000"/>
        <rFont val="Calibri"/>
        <family val="2"/>
        <scheme val="minor"/>
      </rPr>
      <t>eto_lag1</t>
    </r>
    <r>
      <rPr>
        <sz val="11"/>
        <color theme="1"/>
        <rFont val="Calibri"/>
        <family val="2"/>
        <scheme val="minor"/>
      </rPr>
      <t>+eto_lag2+
caudal_lag2</t>
    </r>
  </si>
  <si>
    <r>
      <t xml:space="preserve">Poços que ficam </t>
    </r>
    <r>
      <rPr>
        <b/>
        <sz val="11"/>
        <color rgb="FF00B050"/>
        <rFont val="Calibri"/>
        <family val="2"/>
        <scheme val="minor"/>
      </rPr>
      <t>bem</t>
    </r>
    <r>
      <rPr>
        <sz val="11"/>
        <color theme="1"/>
        <rFont val="Calibri"/>
        <family val="2"/>
        <scheme val="minor"/>
      </rPr>
      <t xml:space="preserve"> com 4 variáveis:
rr+rr_lag1+eto_lag2+
caudal_lag2</t>
    </r>
  </si>
  <si>
    <r>
      <t xml:space="preserve">Poços que ficam </t>
    </r>
    <r>
      <rPr>
        <b/>
        <sz val="11"/>
        <color rgb="FFFF0000"/>
        <rFont val="Calibri"/>
        <family val="2"/>
        <scheme val="minor"/>
      </rPr>
      <t>MAL</t>
    </r>
    <r>
      <rPr>
        <sz val="11"/>
        <color theme="1"/>
        <rFont val="Calibri"/>
        <family val="2"/>
        <scheme val="minor"/>
      </rPr>
      <t xml:space="preserve"> com  5 variáveis:
rr+rr_lag1+</t>
    </r>
    <r>
      <rPr>
        <sz val="11"/>
        <rFont val="Calibri"/>
        <family val="2"/>
        <scheme val="minor"/>
      </rPr>
      <t>eto_lag1+</t>
    </r>
    <r>
      <rPr>
        <sz val="11"/>
        <color theme="1"/>
        <rFont val="Calibri"/>
        <family val="2"/>
        <scheme val="minor"/>
      </rPr>
      <t>eto_lag2+
caudal_lag2</t>
    </r>
  </si>
  <si>
    <t>piora muito com outras variáveis</t>
  </si>
  <si>
    <t>PIORA</t>
  </si>
  <si>
    <t>modelo COMPLETO (9 var)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</si>
</sst>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9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0" fontId="0" fillId="0" borderId="0" xfId="1" applyNumberFormat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/>
    <xf numFmtId="0" fontId="0" fillId="0" borderId="0" xfId="0" applyFill="1"/>
    <xf numFmtId="0" fontId="0" fillId="5" borderId="0" xfId="0" applyFill="1"/>
    <xf numFmtId="0" fontId="0" fillId="3" borderId="0" xfId="0" applyFill="1"/>
    <xf numFmtId="0" fontId="0" fillId="7" borderId="0" xfId="0" applyFill="1"/>
    <xf numFmtId="0" fontId="0" fillId="7" borderId="0" xfId="0" applyFill="1" applyAlignment="1">
      <alignment horizontal="center"/>
    </xf>
    <xf numFmtId="0" fontId="5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left" wrapText="1"/>
    </xf>
    <xf numFmtId="0" fontId="0" fillId="5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7" borderId="0" xfId="0" applyFill="1" applyAlignment="1">
      <alignment shrinkToFit="1"/>
    </xf>
    <xf numFmtId="0" fontId="0" fillId="8" borderId="0" xfId="0" applyFill="1" applyAlignment="1"/>
    <xf numFmtId="0" fontId="1" fillId="8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2"/>
  <sheetViews>
    <sheetView tabSelected="1" topLeftCell="D17" workbookViewId="0">
      <selection activeCell="S25" sqref="S25"/>
    </sheetView>
  </sheetViews>
  <sheetFormatPr defaultRowHeight="14.4" x14ac:dyDescent="0.3"/>
  <cols>
    <col min="4" max="4" width="10.5546875" customWidth="1"/>
    <col min="8" max="8" width="9.6640625" customWidth="1"/>
    <col min="9" max="10" width="10.6640625" bestFit="1" customWidth="1"/>
    <col min="13" max="13" width="11.21875" customWidth="1"/>
    <col min="20" max="20" width="20.77734375" customWidth="1"/>
  </cols>
  <sheetData>
    <row r="2" spans="1:8" x14ac:dyDescent="0.3">
      <c r="A2" s="4" t="s">
        <v>71</v>
      </c>
      <c r="B2" s="4"/>
      <c r="C2" s="4"/>
      <c r="D2" s="4"/>
      <c r="E2" s="4"/>
      <c r="F2" s="4"/>
      <c r="G2" s="4"/>
      <c r="H2" s="4"/>
    </row>
    <row r="4" spans="1:8" x14ac:dyDescent="0.3">
      <c r="A4" s="6" t="s">
        <v>7</v>
      </c>
      <c r="B4" s="6" t="s">
        <v>18</v>
      </c>
      <c r="C4" s="6" t="s">
        <v>8</v>
      </c>
      <c r="D4" s="6" t="s">
        <v>9</v>
      </c>
      <c r="E4" s="6" t="s">
        <v>19</v>
      </c>
      <c r="F4" s="6" t="s">
        <v>14</v>
      </c>
      <c r="G4" s="6" t="s">
        <v>16</v>
      </c>
      <c r="H4" s="6" t="s">
        <v>20</v>
      </c>
    </row>
    <row r="5" spans="1:8" x14ac:dyDescent="0.3">
      <c r="A5" s="3">
        <v>175</v>
      </c>
      <c r="B5" s="3">
        <v>174</v>
      </c>
      <c r="C5" s="3">
        <v>170</v>
      </c>
      <c r="D5" s="3">
        <v>168</v>
      </c>
      <c r="E5" s="3">
        <v>161</v>
      </c>
      <c r="F5" s="3">
        <v>161</v>
      </c>
      <c r="G5" s="3">
        <v>159</v>
      </c>
      <c r="H5" s="3">
        <v>157</v>
      </c>
    </row>
    <row r="6" spans="1:8" ht="30" customHeight="1" x14ac:dyDescent="0.3">
      <c r="A6" s="6" t="s">
        <v>22</v>
      </c>
      <c r="B6" s="6" t="s">
        <v>12</v>
      </c>
      <c r="C6" s="6" t="s">
        <v>24</v>
      </c>
      <c r="D6" s="6" t="s">
        <v>21</v>
      </c>
      <c r="E6" s="6" t="s">
        <v>23</v>
      </c>
      <c r="F6" s="6" t="s">
        <v>33</v>
      </c>
      <c r="G6" s="6" t="s">
        <v>34</v>
      </c>
      <c r="H6" s="6" t="s">
        <v>17</v>
      </c>
    </row>
    <row r="7" spans="1:8" x14ac:dyDescent="0.3">
      <c r="A7" s="3">
        <v>147</v>
      </c>
      <c r="B7" s="3">
        <v>144</v>
      </c>
      <c r="C7" s="3">
        <v>143</v>
      </c>
      <c r="D7" s="3">
        <v>139</v>
      </c>
      <c r="E7" s="3">
        <v>131</v>
      </c>
      <c r="F7" s="3">
        <v>123</v>
      </c>
      <c r="G7" s="3">
        <v>121</v>
      </c>
      <c r="H7" s="3">
        <v>120</v>
      </c>
    </row>
    <row r="8" spans="1:8" ht="30" customHeight="1" x14ac:dyDescent="0.3">
      <c r="A8" s="6" t="s">
        <v>35</v>
      </c>
      <c r="B8" s="6" t="s">
        <v>15</v>
      </c>
      <c r="C8" s="6" t="s">
        <v>11</v>
      </c>
      <c r="D8" s="6" t="s">
        <v>10</v>
      </c>
      <c r="E8" s="2" t="s">
        <v>36</v>
      </c>
      <c r="F8" s="2" t="s">
        <v>37</v>
      </c>
      <c r="G8" s="2" t="s">
        <v>38</v>
      </c>
      <c r="H8" s="2" t="s">
        <v>13</v>
      </c>
    </row>
    <row r="9" spans="1:8" x14ac:dyDescent="0.3">
      <c r="A9" s="3">
        <v>116</v>
      </c>
      <c r="B9" s="3">
        <v>108</v>
      </c>
      <c r="C9" s="3">
        <v>102</v>
      </c>
      <c r="D9" s="3">
        <v>100</v>
      </c>
      <c r="E9" s="3">
        <v>97</v>
      </c>
      <c r="F9" s="3">
        <v>96</v>
      </c>
      <c r="G9" s="3">
        <v>89</v>
      </c>
      <c r="H9" s="3">
        <v>89</v>
      </c>
    </row>
    <row r="10" spans="1:8" s="1" customFormat="1" ht="30" customHeight="1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45</v>
      </c>
      <c r="H10" s="2" t="s">
        <v>46</v>
      </c>
    </row>
    <row r="11" spans="1:8" x14ac:dyDescent="0.3">
      <c r="A11" s="3">
        <v>89</v>
      </c>
      <c r="B11" s="3">
        <v>86</v>
      </c>
      <c r="C11" s="3">
        <v>82</v>
      </c>
      <c r="D11" s="3">
        <v>82</v>
      </c>
      <c r="E11" s="3">
        <v>73</v>
      </c>
      <c r="F11" s="3">
        <v>71</v>
      </c>
      <c r="G11" s="3">
        <v>71</v>
      </c>
      <c r="H11" s="3">
        <v>68</v>
      </c>
    </row>
    <row r="12" spans="1:8" ht="30" customHeight="1" x14ac:dyDescent="0.3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52</v>
      </c>
      <c r="G12" s="2" t="s">
        <v>53</v>
      </c>
      <c r="H12" s="2" t="s">
        <v>54</v>
      </c>
    </row>
    <row r="13" spans="1:8" x14ac:dyDescent="0.3">
      <c r="A13" s="3">
        <v>64</v>
      </c>
      <c r="B13" s="3">
        <v>61</v>
      </c>
      <c r="C13" s="3">
        <v>60</v>
      </c>
      <c r="D13" s="3">
        <v>60</v>
      </c>
      <c r="E13" s="3">
        <v>55</v>
      </c>
      <c r="F13" s="3">
        <v>46</v>
      </c>
      <c r="G13" s="3">
        <v>46</v>
      </c>
      <c r="H13" s="3">
        <v>45</v>
      </c>
    </row>
    <row r="14" spans="1:8" ht="30" customHeight="1" x14ac:dyDescent="0.3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60</v>
      </c>
      <c r="G14" s="2" t="s">
        <v>61</v>
      </c>
      <c r="H14" s="2" t="s">
        <v>62</v>
      </c>
    </row>
    <row r="15" spans="1:8" x14ac:dyDescent="0.3">
      <c r="A15" s="3">
        <v>35</v>
      </c>
      <c r="B15" s="3">
        <v>29</v>
      </c>
      <c r="C15" s="3">
        <v>25</v>
      </c>
      <c r="D15" s="3">
        <v>23</v>
      </c>
      <c r="E15" s="3">
        <v>20</v>
      </c>
      <c r="F15" s="3">
        <v>19</v>
      </c>
      <c r="G15" s="3">
        <v>16</v>
      </c>
      <c r="H15" s="3">
        <v>12</v>
      </c>
    </row>
    <row r="16" spans="1:8" ht="30" customHeight="1" x14ac:dyDescent="0.3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68</v>
      </c>
      <c r="G16" s="2" t="s">
        <v>69</v>
      </c>
      <c r="H16" s="2" t="s">
        <v>70</v>
      </c>
    </row>
    <row r="17" spans="1:16" x14ac:dyDescent="0.3">
      <c r="A17" s="3">
        <v>12</v>
      </c>
      <c r="B17" s="3">
        <v>10</v>
      </c>
      <c r="C17" s="3">
        <v>10</v>
      </c>
      <c r="D17" s="3">
        <v>10</v>
      </c>
      <c r="E17" s="3">
        <v>5</v>
      </c>
      <c r="F17" s="3">
        <v>3</v>
      </c>
      <c r="G17" s="3">
        <v>3</v>
      </c>
      <c r="H17" s="3">
        <v>0</v>
      </c>
    </row>
    <row r="19" spans="1:16" x14ac:dyDescent="0.3">
      <c r="A19" s="24" t="s">
        <v>80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N19" s="29" t="s">
        <v>94</v>
      </c>
      <c r="O19" s="29"/>
      <c r="P19" s="14"/>
    </row>
    <row r="20" spans="1:16" x14ac:dyDescent="0.3">
      <c r="A20" t="s">
        <v>0</v>
      </c>
      <c r="B20" s="3" t="s">
        <v>3</v>
      </c>
      <c r="C20" s="3" t="s">
        <v>72</v>
      </c>
      <c r="D20" s="3" t="s">
        <v>73</v>
      </c>
      <c r="E20" s="3" t="s">
        <v>74</v>
      </c>
      <c r="F20" s="3" t="s">
        <v>75</v>
      </c>
      <c r="G20" s="3" t="s">
        <v>76</v>
      </c>
      <c r="H20" s="7" t="s">
        <v>77</v>
      </c>
      <c r="I20" s="3" t="s">
        <v>78</v>
      </c>
      <c r="J20" s="7" t="s">
        <v>79</v>
      </c>
      <c r="K20" t="s">
        <v>28</v>
      </c>
      <c r="L20" s="3" t="s">
        <v>84</v>
      </c>
      <c r="M20" t="s">
        <v>93</v>
      </c>
      <c r="N20" s="30" t="s">
        <v>32</v>
      </c>
      <c r="O20" s="30" t="s">
        <v>28</v>
      </c>
      <c r="P20" s="3" t="s">
        <v>82</v>
      </c>
    </row>
    <row r="21" spans="1:16" x14ac:dyDescent="0.3">
      <c r="A21" s="15" t="s">
        <v>7</v>
      </c>
      <c r="B21" s="3" t="s">
        <v>29</v>
      </c>
      <c r="C21" s="3"/>
      <c r="D21" s="3"/>
      <c r="E21" s="3" t="s">
        <v>29</v>
      </c>
      <c r="F21" s="3" t="s">
        <v>29</v>
      </c>
      <c r="G21" s="3" t="s">
        <v>29</v>
      </c>
      <c r="H21" s="7" t="s">
        <v>29</v>
      </c>
      <c r="I21" s="3"/>
      <c r="J21" s="7" t="s">
        <v>29</v>
      </c>
      <c r="K21">
        <v>0.49597882999999998</v>
      </c>
      <c r="L21">
        <f>COUNTIF(B21:J21,"X")</f>
        <v>6</v>
      </c>
      <c r="N21">
        <v>0.51397371000000003</v>
      </c>
      <c r="O21">
        <v>0.48746318</v>
      </c>
      <c r="P21" s="5">
        <f>(K21-O21)/K21</f>
        <v>1.7169382007695744E-2</v>
      </c>
    </row>
    <row r="22" spans="1:16" x14ac:dyDescent="0.3">
      <c r="A22" s="8" t="s">
        <v>18</v>
      </c>
      <c r="B22" s="3"/>
      <c r="C22" s="3"/>
      <c r="D22" s="3" t="s">
        <v>29</v>
      </c>
      <c r="E22" s="3"/>
      <c r="F22" s="3" t="s">
        <v>29</v>
      </c>
      <c r="G22" s="3" t="s">
        <v>29</v>
      </c>
      <c r="H22" s="7" t="s">
        <v>29</v>
      </c>
      <c r="I22" s="3"/>
      <c r="J22" s="7"/>
      <c r="K22">
        <v>0.14905921999999999</v>
      </c>
      <c r="L22" s="8">
        <f>COUNTIF(B22:J22,"X")</f>
        <v>4</v>
      </c>
      <c r="N22" s="8">
        <v>0.17091360999999999</v>
      </c>
      <c r="O22">
        <v>0.12541496999999999</v>
      </c>
      <c r="P22" s="5"/>
    </row>
    <row r="23" spans="1:16" x14ac:dyDescent="0.3">
      <c r="A23" s="17" t="s">
        <v>8</v>
      </c>
      <c r="B23" s="18" t="s">
        <v>29</v>
      </c>
      <c r="C23" s="18"/>
      <c r="D23" s="18" t="s">
        <v>29</v>
      </c>
      <c r="E23" s="18" t="s">
        <v>29</v>
      </c>
      <c r="F23" s="18"/>
      <c r="G23" s="18" t="s">
        <v>29</v>
      </c>
      <c r="H23" s="19" t="s">
        <v>29</v>
      </c>
      <c r="I23" s="18"/>
      <c r="J23" s="19" t="s">
        <v>29</v>
      </c>
      <c r="K23" s="17">
        <v>0.31476583000000002</v>
      </c>
      <c r="L23" s="17">
        <f>COUNTIF(B23:J23,"X")</f>
        <v>6</v>
      </c>
      <c r="M23" s="28" t="s">
        <v>92</v>
      </c>
      <c r="N23">
        <v>0.34280981999999999</v>
      </c>
      <c r="O23">
        <v>0.30584286999999999</v>
      </c>
      <c r="P23" s="5">
        <f t="shared" ref="P22:P40" si="0">(K23-O23)/K23</f>
        <v>2.8347930904698376E-2</v>
      </c>
    </row>
    <row r="24" spans="1:16" x14ac:dyDescent="0.3">
      <c r="A24" s="8" t="s">
        <v>9</v>
      </c>
      <c r="B24" s="3"/>
      <c r="C24" s="3" t="s">
        <v>29</v>
      </c>
      <c r="D24" s="3"/>
      <c r="E24" s="3" t="s">
        <v>29</v>
      </c>
      <c r="F24" s="3"/>
      <c r="G24" s="3"/>
      <c r="H24" s="7" t="s">
        <v>29</v>
      </c>
      <c r="I24" s="3"/>
      <c r="J24" s="7" t="s">
        <v>29</v>
      </c>
      <c r="K24">
        <v>0.13768622999999999</v>
      </c>
      <c r="L24" s="8">
        <f>COUNTIF(B24:J24,"X")</f>
        <v>4</v>
      </c>
      <c r="N24" s="8">
        <v>0.16446412999999999</v>
      </c>
      <c r="O24">
        <v>0.11687031000000001</v>
      </c>
      <c r="P24" s="5"/>
    </row>
    <row r="25" spans="1:16" x14ac:dyDescent="0.3">
      <c r="A25" s="8" t="s">
        <v>19</v>
      </c>
      <c r="B25" s="3"/>
      <c r="C25" s="3" t="s">
        <v>29</v>
      </c>
      <c r="D25" s="3"/>
      <c r="E25" s="3" t="s">
        <v>29</v>
      </c>
      <c r="F25" s="3"/>
      <c r="G25" s="3"/>
      <c r="H25" s="7"/>
      <c r="I25" s="3"/>
      <c r="J25" s="7" t="s">
        <v>29</v>
      </c>
      <c r="K25">
        <v>8.1635509999999994E-2</v>
      </c>
      <c r="L25" s="8">
        <f>COUNTIF(B25:J25,"X")</f>
        <v>3</v>
      </c>
      <c r="N25" s="8">
        <v>0.10433932999999999</v>
      </c>
      <c r="O25">
        <v>5.0955590000000002E-2</v>
      </c>
      <c r="P25" s="5"/>
    </row>
    <row r="26" spans="1:16" x14ac:dyDescent="0.3">
      <c r="A26" s="15" t="s">
        <v>14</v>
      </c>
      <c r="B26" s="3" t="s">
        <v>29</v>
      </c>
      <c r="C26" s="3"/>
      <c r="D26" s="3" t="s">
        <v>29</v>
      </c>
      <c r="E26" s="3" t="s">
        <v>29</v>
      </c>
      <c r="F26" s="3" t="s">
        <v>29</v>
      </c>
      <c r="G26" s="3" t="s">
        <v>29</v>
      </c>
      <c r="H26" s="7" t="s">
        <v>29</v>
      </c>
      <c r="I26" s="3"/>
      <c r="J26" s="7" t="s">
        <v>29</v>
      </c>
      <c r="K26">
        <v>0.64882229000000002</v>
      </c>
      <c r="L26">
        <f>COUNTIF(B26:J26,"X")</f>
        <v>7</v>
      </c>
      <c r="N26">
        <v>0.66490075000000004</v>
      </c>
      <c r="O26">
        <v>0.64492793999999998</v>
      </c>
      <c r="P26" s="5">
        <f t="shared" si="0"/>
        <v>6.002182816499794E-3</v>
      </c>
    </row>
    <row r="27" spans="1:16" x14ac:dyDescent="0.3">
      <c r="A27" s="16" t="s">
        <v>16</v>
      </c>
      <c r="B27" s="3" t="s">
        <v>29</v>
      </c>
      <c r="C27" s="3" t="s">
        <v>29</v>
      </c>
      <c r="D27" s="3" t="s">
        <v>29</v>
      </c>
      <c r="E27" s="3" t="s">
        <v>29</v>
      </c>
      <c r="F27" s="3"/>
      <c r="G27" s="3"/>
      <c r="H27" s="7" t="s">
        <v>29</v>
      </c>
      <c r="I27" s="3"/>
      <c r="J27" s="7" t="s">
        <v>29</v>
      </c>
      <c r="K27">
        <v>0.65250063000000003</v>
      </c>
      <c r="L27">
        <f>COUNTIF(B27:J27,"X")</f>
        <v>6</v>
      </c>
      <c r="N27">
        <v>0.66618730000000004</v>
      </c>
      <c r="O27">
        <v>0.64602411999999998</v>
      </c>
      <c r="P27" s="5">
        <f t="shared" si="0"/>
        <v>9.9256762403433178E-3</v>
      </c>
    </row>
    <row r="28" spans="1:16" x14ac:dyDescent="0.3">
      <c r="A28" s="8" t="s">
        <v>20</v>
      </c>
      <c r="B28" s="3"/>
      <c r="C28" s="3" t="s">
        <v>29</v>
      </c>
      <c r="D28" s="3"/>
      <c r="E28" s="3"/>
      <c r="F28" s="3"/>
      <c r="G28" s="3"/>
      <c r="H28" s="7" t="s">
        <v>29</v>
      </c>
      <c r="I28" s="3"/>
      <c r="J28" s="7"/>
      <c r="K28">
        <v>3.1221499999999999E-2</v>
      </c>
      <c r="L28" s="8">
        <f>COUNTIF(B28:J28,"X")</f>
        <v>2</v>
      </c>
      <c r="N28" s="8">
        <v>4.7853470000000002E-2</v>
      </c>
      <c r="O28">
        <v>-1.0441209999999999E-2</v>
      </c>
      <c r="P28" s="5"/>
    </row>
    <row r="29" spans="1:16" x14ac:dyDescent="0.3">
      <c r="A29" s="16" t="s">
        <v>22</v>
      </c>
      <c r="B29" s="3" t="s">
        <v>29</v>
      </c>
      <c r="C29" s="3" t="s">
        <v>29</v>
      </c>
      <c r="D29" s="3"/>
      <c r="E29" s="3"/>
      <c r="F29" s="3" t="s">
        <v>29</v>
      </c>
      <c r="G29" s="3"/>
      <c r="H29" s="7" t="s">
        <v>29</v>
      </c>
      <c r="I29" s="3" t="s">
        <v>29</v>
      </c>
      <c r="J29" s="7" t="s">
        <v>29</v>
      </c>
      <c r="K29">
        <v>0.78485329999999998</v>
      </c>
      <c r="L29">
        <f>COUNTIF(B29:J29,"X")</f>
        <v>6</v>
      </c>
      <c r="N29">
        <v>0.79482841999999998</v>
      </c>
      <c r="O29">
        <v>0.78134999999999999</v>
      </c>
      <c r="P29" s="5">
        <f t="shared" si="0"/>
        <v>4.463636707649681E-3</v>
      </c>
    </row>
    <row r="30" spans="1:16" x14ac:dyDescent="0.3">
      <c r="A30" s="16" t="s">
        <v>12</v>
      </c>
      <c r="B30" s="3" t="s">
        <v>29</v>
      </c>
      <c r="C30" s="3" t="s">
        <v>29</v>
      </c>
      <c r="D30" s="3"/>
      <c r="E30" s="3" t="s">
        <v>29</v>
      </c>
      <c r="F30" s="3"/>
      <c r="G30" s="3" t="s">
        <v>29</v>
      </c>
      <c r="H30" s="7" t="s">
        <v>29</v>
      </c>
      <c r="I30" s="3" t="s">
        <v>29</v>
      </c>
      <c r="J30" s="7" t="s">
        <v>29</v>
      </c>
      <c r="K30">
        <v>0.66794257999999995</v>
      </c>
      <c r="L30">
        <f>COUNTIF(B30:J30,"X")</f>
        <v>7</v>
      </c>
      <c r="N30">
        <v>0.68572575000000002</v>
      </c>
      <c r="O30">
        <v>0.66461778000000005</v>
      </c>
      <c r="P30" s="5">
        <f t="shared" si="0"/>
        <v>4.9776733802476044E-3</v>
      </c>
    </row>
    <row r="31" spans="1:16" x14ac:dyDescent="0.3">
      <c r="A31" s="15" t="s">
        <v>24</v>
      </c>
      <c r="B31" s="3" t="s">
        <v>29</v>
      </c>
      <c r="C31" s="3"/>
      <c r="D31" s="3" t="s">
        <v>29</v>
      </c>
      <c r="E31" s="3" t="s">
        <v>29</v>
      </c>
      <c r="F31" s="3"/>
      <c r="G31" s="3" t="s">
        <v>29</v>
      </c>
      <c r="H31" s="7" t="s">
        <v>29</v>
      </c>
      <c r="I31" s="3"/>
      <c r="J31" s="7" t="s">
        <v>29</v>
      </c>
      <c r="K31">
        <v>0.84131948999999995</v>
      </c>
      <c r="L31">
        <f>COUNTIF(B31:J31,"X")</f>
        <v>6</v>
      </c>
      <c r="N31">
        <v>0.84867088999999996</v>
      </c>
      <c r="O31">
        <v>0.83843056999999999</v>
      </c>
      <c r="P31" s="5">
        <f t="shared" si="0"/>
        <v>3.433796594917778E-3</v>
      </c>
    </row>
    <row r="32" spans="1:16" x14ac:dyDescent="0.3">
      <c r="A32" s="16" t="s">
        <v>21</v>
      </c>
      <c r="B32" s="3"/>
      <c r="C32" s="3" t="s">
        <v>29</v>
      </c>
      <c r="D32" s="3"/>
      <c r="E32" s="3"/>
      <c r="F32" s="3"/>
      <c r="G32" s="3"/>
      <c r="H32" s="7" t="s">
        <v>29</v>
      </c>
      <c r="I32" s="3"/>
      <c r="J32" s="7" t="s">
        <v>29</v>
      </c>
      <c r="K32">
        <v>0.50225642000000004</v>
      </c>
      <c r="L32">
        <f>COUNTIF(B32:J32,"X")</f>
        <v>3</v>
      </c>
      <c r="N32">
        <v>0.52779662999999999</v>
      </c>
      <c r="O32">
        <v>0.49485221000000001</v>
      </c>
      <c r="P32" s="5">
        <f t="shared" si="0"/>
        <v>1.4741892199207771E-2</v>
      </c>
    </row>
    <row r="33" spans="1:16" x14ac:dyDescent="0.3">
      <c r="A33" s="17" t="s">
        <v>23</v>
      </c>
      <c r="B33" s="18"/>
      <c r="C33" s="18"/>
      <c r="D33" s="18" t="s">
        <v>29</v>
      </c>
      <c r="E33" s="18"/>
      <c r="F33" s="18" t="s">
        <v>29</v>
      </c>
      <c r="G33" s="18" t="s">
        <v>29</v>
      </c>
      <c r="H33" s="19" t="s">
        <v>29</v>
      </c>
      <c r="I33" s="18" t="s">
        <v>29</v>
      </c>
      <c r="J33" s="19" t="s">
        <v>29</v>
      </c>
      <c r="K33" s="17">
        <v>0.61341528999999995</v>
      </c>
      <c r="L33" s="17">
        <f>COUNTIF(B33:J33,"X")</f>
        <v>6</v>
      </c>
      <c r="M33" s="28" t="s">
        <v>92</v>
      </c>
      <c r="N33">
        <v>0.63360444999999999</v>
      </c>
      <c r="O33">
        <v>0.60635189</v>
      </c>
      <c r="P33" s="5">
        <f t="shared" si="0"/>
        <v>1.1514874368390691E-2</v>
      </c>
    </row>
    <row r="34" spans="1:16" x14ac:dyDescent="0.3">
      <c r="A34" s="15" t="s">
        <v>33</v>
      </c>
      <c r="B34" s="3" t="s">
        <v>29</v>
      </c>
      <c r="C34" s="3" t="s">
        <v>29</v>
      </c>
      <c r="D34" s="3"/>
      <c r="E34" s="3" t="s">
        <v>29</v>
      </c>
      <c r="F34" s="3" t="s">
        <v>29</v>
      </c>
      <c r="G34" s="3"/>
      <c r="H34" s="7" t="s">
        <v>29</v>
      </c>
      <c r="I34" s="3"/>
      <c r="J34" s="7" t="s">
        <v>29</v>
      </c>
      <c r="K34">
        <v>0.71935037000000002</v>
      </c>
      <c r="L34">
        <f>COUNTIF(B34:J34,"X")</f>
        <v>6</v>
      </c>
      <c r="N34">
        <v>0.73493489999999995</v>
      </c>
      <c r="O34">
        <v>0.71382352000000004</v>
      </c>
      <c r="P34" s="5">
        <f t="shared" si="0"/>
        <v>7.6831127507447751E-3</v>
      </c>
    </row>
    <row r="35" spans="1:16" x14ac:dyDescent="0.3">
      <c r="A35" s="16" t="s">
        <v>34</v>
      </c>
      <c r="B35" s="3" t="s">
        <v>29</v>
      </c>
      <c r="C35" s="3" t="s">
        <v>29</v>
      </c>
      <c r="D35" s="3" t="s">
        <v>29</v>
      </c>
      <c r="E35" s="3" t="s">
        <v>29</v>
      </c>
      <c r="F35" s="3"/>
      <c r="G35" s="3"/>
      <c r="H35" s="7" t="s">
        <v>29</v>
      </c>
      <c r="I35" s="3"/>
      <c r="J35" s="7"/>
      <c r="K35">
        <v>0.79495139000000004</v>
      </c>
      <c r="L35">
        <f>COUNTIF(B35:J35,"X")</f>
        <v>5</v>
      </c>
      <c r="N35">
        <v>0.80657162000000004</v>
      </c>
      <c r="O35">
        <v>0.79088824000000002</v>
      </c>
      <c r="P35" s="5">
        <f t="shared" si="0"/>
        <v>5.1111930252741812E-3</v>
      </c>
    </row>
    <row r="36" spans="1:16" x14ac:dyDescent="0.3">
      <c r="A36" s="15" t="s">
        <v>17</v>
      </c>
      <c r="B36" s="3" t="s">
        <v>29</v>
      </c>
      <c r="C36" s="3"/>
      <c r="D36" s="3"/>
      <c r="E36" s="3" t="s">
        <v>29</v>
      </c>
      <c r="F36" s="3"/>
      <c r="G36" s="3" t="s">
        <v>29</v>
      </c>
      <c r="H36" s="7" t="s">
        <v>29</v>
      </c>
      <c r="I36" s="3"/>
      <c r="J36" s="7" t="s">
        <v>29</v>
      </c>
      <c r="K36">
        <v>0.35120868999999999</v>
      </c>
      <c r="L36">
        <f>COUNTIF(B36:J36,"X")</f>
        <v>5</v>
      </c>
      <c r="N36">
        <v>0.38350821000000002</v>
      </c>
      <c r="O36">
        <v>0.33306796999999999</v>
      </c>
      <c r="P36" s="5">
        <f t="shared" si="0"/>
        <v>5.1652252682016495E-2</v>
      </c>
    </row>
    <row r="37" spans="1:16" x14ac:dyDescent="0.3">
      <c r="A37" s="17" t="s">
        <v>35</v>
      </c>
      <c r="B37" s="18" t="s">
        <v>29</v>
      </c>
      <c r="C37" s="18" t="s">
        <v>29</v>
      </c>
      <c r="D37" s="18" t="s">
        <v>29</v>
      </c>
      <c r="E37" s="18" t="s">
        <v>29</v>
      </c>
      <c r="F37" s="18" t="s">
        <v>29</v>
      </c>
      <c r="G37" s="18"/>
      <c r="H37" s="19" t="s">
        <v>29</v>
      </c>
      <c r="I37" s="18"/>
      <c r="J37" s="19"/>
      <c r="K37" s="17">
        <v>0.40059250000000002</v>
      </c>
      <c r="L37" s="17">
        <f>COUNTIF(B37:J37,"X")</f>
        <v>6</v>
      </c>
      <c r="M37" s="28" t="s">
        <v>92</v>
      </c>
      <c r="N37">
        <v>0.43373413</v>
      </c>
      <c r="O37">
        <v>0.38565495</v>
      </c>
      <c r="P37" s="5">
        <f t="shared" si="0"/>
        <v>3.7288641200222225E-2</v>
      </c>
    </row>
    <row r="38" spans="1:16" x14ac:dyDescent="0.3">
      <c r="A38" s="16" t="s">
        <v>15</v>
      </c>
      <c r="B38" s="3" t="s">
        <v>29</v>
      </c>
      <c r="C38" s="3"/>
      <c r="D38" s="3"/>
      <c r="E38" s="3" t="s">
        <v>29</v>
      </c>
      <c r="F38" s="3"/>
      <c r="G38" s="3" t="s">
        <v>29</v>
      </c>
      <c r="H38" s="7" t="s">
        <v>29</v>
      </c>
      <c r="I38" s="3"/>
      <c r="J38" s="7"/>
      <c r="K38">
        <v>0.68871134000000001</v>
      </c>
      <c r="L38">
        <f>COUNTIF(B38:J38,"X")</f>
        <v>4</v>
      </c>
      <c r="N38">
        <v>0.70724472999999999</v>
      </c>
      <c r="O38">
        <v>0.68035904000000003</v>
      </c>
      <c r="P38" s="5">
        <f t="shared" si="0"/>
        <v>1.2127432082067909E-2</v>
      </c>
    </row>
    <row r="39" spans="1:16" x14ac:dyDescent="0.3">
      <c r="A39" s="17" t="s">
        <v>11</v>
      </c>
      <c r="B39" s="18" t="s">
        <v>29</v>
      </c>
      <c r="C39" s="18" t="s">
        <v>29</v>
      </c>
      <c r="D39" s="18" t="s">
        <v>29</v>
      </c>
      <c r="E39" s="18" t="s">
        <v>29</v>
      </c>
      <c r="F39" s="18"/>
      <c r="G39" s="18" t="s">
        <v>29</v>
      </c>
      <c r="H39" s="19" t="s">
        <v>29</v>
      </c>
      <c r="I39" s="18"/>
      <c r="J39" s="19" t="s">
        <v>29</v>
      </c>
      <c r="K39" s="17">
        <v>0.74122326999999999</v>
      </c>
      <c r="L39" s="17">
        <f>COUNTIF(B39:J39,"X")</f>
        <v>7</v>
      </c>
      <c r="M39" s="28" t="s">
        <v>92</v>
      </c>
      <c r="N39">
        <v>0.75927568999999995</v>
      </c>
      <c r="O39">
        <v>0.73572656999999997</v>
      </c>
      <c r="P39" s="5">
        <f t="shared" si="0"/>
        <v>7.4157142961796402E-3</v>
      </c>
    </row>
    <row r="40" spans="1:16" x14ac:dyDescent="0.3">
      <c r="A40" s="15" t="s">
        <v>10</v>
      </c>
      <c r="B40" s="3" t="s">
        <v>29</v>
      </c>
      <c r="C40" s="3"/>
      <c r="D40" s="3" t="s">
        <v>29</v>
      </c>
      <c r="E40" s="3" t="s">
        <v>29</v>
      </c>
      <c r="F40" s="3" t="s">
        <v>29</v>
      </c>
      <c r="G40" s="3" t="s">
        <v>29</v>
      </c>
      <c r="H40" s="7" t="s">
        <v>29</v>
      </c>
      <c r="I40" s="3"/>
      <c r="J40" s="7" t="s">
        <v>29</v>
      </c>
      <c r="K40">
        <v>0.70402909000000002</v>
      </c>
      <c r="L40">
        <f>COUNTIF(B40:J40,"X")</f>
        <v>7</v>
      </c>
      <c r="N40">
        <v>0.72547457000000004</v>
      </c>
      <c r="O40">
        <v>0.69802202999999996</v>
      </c>
      <c r="P40" s="5">
        <f t="shared" si="0"/>
        <v>8.5324031141952722E-3</v>
      </c>
    </row>
    <row r="41" spans="1:16" x14ac:dyDescent="0.3">
      <c r="N41" s="14"/>
      <c r="O41" s="14"/>
      <c r="P41" s="14"/>
    </row>
    <row r="43" spans="1:16" x14ac:dyDescent="0.3">
      <c r="A43" s="24" t="s">
        <v>81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spans="1:16" x14ac:dyDescent="0.3">
      <c r="A44" t="s">
        <v>0</v>
      </c>
      <c r="B44" s="3" t="s">
        <v>3</v>
      </c>
      <c r="C44" s="3" t="s">
        <v>72</v>
      </c>
      <c r="D44" s="3" t="s">
        <v>73</v>
      </c>
      <c r="E44" s="3" t="s">
        <v>74</v>
      </c>
      <c r="F44" s="3" t="s">
        <v>75</v>
      </c>
      <c r="G44" s="3" t="s">
        <v>76</v>
      </c>
      <c r="H44" s="3" t="s">
        <v>77</v>
      </c>
      <c r="I44" s="3" t="s">
        <v>78</v>
      </c>
      <c r="J44" s="3" t="s">
        <v>79</v>
      </c>
      <c r="K44" t="s">
        <v>28</v>
      </c>
      <c r="L44" s="3" t="s">
        <v>82</v>
      </c>
      <c r="M44" s="3" t="s">
        <v>84</v>
      </c>
    </row>
    <row r="45" spans="1:16" x14ac:dyDescent="0.3">
      <c r="A45" t="s">
        <v>7</v>
      </c>
      <c r="B45" s="3" t="s">
        <v>29</v>
      </c>
      <c r="C45" s="3" t="s">
        <v>29</v>
      </c>
      <c r="D45" s="3"/>
      <c r="E45" s="3" t="s">
        <v>29</v>
      </c>
      <c r="F45" s="3" t="s">
        <v>29</v>
      </c>
      <c r="G45" s="3"/>
      <c r="H45" s="3" t="s">
        <v>29</v>
      </c>
      <c r="I45" s="3"/>
      <c r="J45" s="3" t="s">
        <v>29</v>
      </c>
      <c r="K45">
        <v>0.49529157000000001</v>
      </c>
      <c r="L45" s="5">
        <f>(K21-K45)/K21</f>
        <v>1.3856639808597624E-3</v>
      </c>
      <c r="M45">
        <f>COUNTIF(B45:J45,"X")</f>
        <v>6</v>
      </c>
    </row>
    <row r="46" spans="1:16" x14ac:dyDescent="0.3">
      <c r="A46" t="s">
        <v>18</v>
      </c>
      <c r="B46" s="3"/>
      <c r="C46" s="3"/>
      <c r="D46" s="3" t="s">
        <v>29</v>
      </c>
      <c r="E46" s="3"/>
      <c r="F46" s="3" t="s">
        <v>29</v>
      </c>
      <c r="G46" s="3"/>
      <c r="H46" s="3" t="s">
        <v>29</v>
      </c>
      <c r="I46" s="3"/>
      <c r="J46" s="3"/>
      <c r="K46">
        <v>0.14702638000000001</v>
      </c>
      <c r="L46" s="5">
        <f t="shared" ref="L46:L64" si="1">(K22-K46)/K22</f>
        <v>1.3637801137024468E-2</v>
      </c>
      <c r="M46">
        <f t="shared" ref="M46:M64" si="2">COUNTIF(B46:J46,"X")</f>
        <v>3</v>
      </c>
    </row>
    <row r="47" spans="1:16" x14ac:dyDescent="0.3">
      <c r="A47" t="s">
        <v>8</v>
      </c>
      <c r="B47" s="3" t="s">
        <v>29</v>
      </c>
      <c r="C47" s="3"/>
      <c r="D47" s="3" t="s">
        <v>29</v>
      </c>
      <c r="E47" s="3" t="s">
        <v>29</v>
      </c>
      <c r="F47" s="3"/>
      <c r="G47" s="3" t="s">
        <v>29</v>
      </c>
      <c r="H47" s="3" t="s">
        <v>29</v>
      </c>
      <c r="I47" s="3" t="s">
        <v>29</v>
      </c>
      <c r="J47" s="3" t="s">
        <v>29</v>
      </c>
      <c r="K47">
        <v>0.31421829000000001</v>
      </c>
      <c r="L47" s="5">
        <f t="shared" si="1"/>
        <v>1.7395153724278553E-3</v>
      </c>
      <c r="M47">
        <f t="shared" si="2"/>
        <v>7</v>
      </c>
    </row>
    <row r="48" spans="1:16" x14ac:dyDescent="0.3">
      <c r="A48" t="s">
        <v>9</v>
      </c>
      <c r="B48" s="3" t="s">
        <v>29</v>
      </c>
      <c r="C48" s="3" t="s">
        <v>29</v>
      </c>
      <c r="D48" s="3"/>
      <c r="E48" s="3" t="s">
        <v>29</v>
      </c>
      <c r="F48" s="3"/>
      <c r="G48" s="3"/>
      <c r="H48" s="3" t="s">
        <v>29</v>
      </c>
      <c r="I48" s="3"/>
      <c r="J48" s="3" t="s">
        <v>29</v>
      </c>
      <c r="K48">
        <v>0.13643227999999999</v>
      </c>
      <c r="L48" s="5">
        <f t="shared" si="1"/>
        <v>9.107301434573405E-3</v>
      </c>
      <c r="M48">
        <f t="shared" si="2"/>
        <v>5</v>
      </c>
    </row>
    <row r="49" spans="1:13" x14ac:dyDescent="0.3">
      <c r="A49" t="s">
        <v>19</v>
      </c>
      <c r="B49" s="3"/>
      <c r="C49" s="3"/>
      <c r="D49" s="3"/>
      <c r="E49" s="3" t="s">
        <v>29</v>
      </c>
      <c r="F49" s="3"/>
      <c r="G49" s="3" t="s">
        <v>29</v>
      </c>
      <c r="H49" s="3"/>
      <c r="I49" s="3"/>
      <c r="J49" s="3" t="s">
        <v>29</v>
      </c>
      <c r="K49">
        <v>8.1494460000000005E-2</v>
      </c>
      <c r="L49" s="5">
        <f t="shared" si="1"/>
        <v>1.7278020312482866E-3</v>
      </c>
      <c r="M49">
        <f t="shared" si="2"/>
        <v>3</v>
      </c>
    </row>
    <row r="50" spans="1:13" x14ac:dyDescent="0.3">
      <c r="A50" t="s">
        <v>14</v>
      </c>
      <c r="B50" s="3" t="s">
        <v>29</v>
      </c>
      <c r="C50" s="3"/>
      <c r="D50" s="3" t="s">
        <v>29</v>
      </c>
      <c r="E50" s="3" t="s">
        <v>29</v>
      </c>
      <c r="F50" s="3"/>
      <c r="G50" s="3" t="s">
        <v>29</v>
      </c>
      <c r="H50" s="3" t="s">
        <v>29</v>
      </c>
      <c r="I50" s="3"/>
      <c r="J50" s="3" t="s">
        <v>29</v>
      </c>
      <c r="K50">
        <v>0.64807557999999998</v>
      </c>
      <c r="L50" s="5">
        <f t="shared" si="1"/>
        <v>1.1508698321693591E-3</v>
      </c>
      <c r="M50">
        <f t="shared" si="2"/>
        <v>6</v>
      </c>
    </row>
    <row r="51" spans="1:13" x14ac:dyDescent="0.3">
      <c r="A51" t="s">
        <v>16</v>
      </c>
      <c r="B51" s="3" t="s">
        <v>29</v>
      </c>
      <c r="C51" s="3" t="s">
        <v>29</v>
      </c>
      <c r="D51" s="3" t="s">
        <v>29</v>
      </c>
      <c r="E51" s="3" t="s">
        <v>29</v>
      </c>
      <c r="F51" s="3"/>
      <c r="G51" s="3" t="s">
        <v>29</v>
      </c>
      <c r="H51" s="3" t="s">
        <v>29</v>
      </c>
      <c r="I51" s="3"/>
      <c r="J51" s="3" t="s">
        <v>29</v>
      </c>
      <c r="K51">
        <v>0.65066784</v>
      </c>
      <c r="L51" s="5">
        <f t="shared" si="1"/>
        <v>2.808870851205199E-3</v>
      </c>
      <c r="M51">
        <f t="shared" si="2"/>
        <v>7</v>
      </c>
    </row>
    <row r="52" spans="1:13" x14ac:dyDescent="0.3">
      <c r="A52" s="8" t="s">
        <v>20</v>
      </c>
      <c r="B52" s="3"/>
      <c r="C52" s="3"/>
      <c r="D52" s="3"/>
      <c r="E52" s="3"/>
      <c r="F52" s="3"/>
      <c r="G52" s="3" t="s">
        <v>29</v>
      </c>
      <c r="H52" s="3" t="s">
        <v>29</v>
      </c>
      <c r="I52" s="3"/>
      <c r="J52" s="3"/>
      <c r="K52" s="8">
        <v>3.0166599999999998E-2</v>
      </c>
      <c r="L52" s="5">
        <f t="shared" si="1"/>
        <v>3.3787614304245504E-2</v>
      </c>
      <c r="M52" s="8">
        <f t="shared" si="2"/>
        <v>2</v>
      </c>
    </row>
    <row r="53" spans="1:13" x14ac:dyDescent="0.3">
      <c r="A53" t="s">
        <v>22</v>
      </c>
      <c r="B53" s="3" t="s">
        <v>29</v>
      </c>
      <c r="C53" s="3" t="s">
        <v>29</v>
      </c>
      <c r="D53" s="3" t="s">
        <v>29</v>
      </c>
      <c r="E53" s="3"/>
      <c r="F53" s="3" t="s">
        <v>29</v>
      </c>
      <c r="G53" s="3"/>
      <c r="H53" s="3" t="s">
        <v>29</v>
      </c>
      <c r="I53" s="3" t="s">
        <v>29</v>
      </c>
      <c r="J53" s="3" t="s">
        <v>29</v>
      </c>
      <c r="K53">
        <v>0.78436099999999997</v>
      </c>
      <c r="L53" s="5">
        <f t="shared" si="1"/>
        <v>6.2725097798531403E-4</v>
      </c>
      <c r="M53">
        <f t="shared" si="2"/>
        <v>7</v>
      </c>
    </row>
    <row r="54" spans="1:13" x14ac:dyDescent="0.3">
      <c r="A54" t="s">
        <v>12</v>
      </c>
      <c r="B54" s="3"/>
      <c r="C54" s="3"/>
      <c r="D54" s="3"/>
      <c r="E54" s="3" t="s">
        <v>29</v>
      </c>
      <c r="F54" s="3"/>
      <c r="G54" s="3" t="s">
        <v>29</v>
      </c>
      <c r="H54" s="3" t="s">
        <v>29</v>
      </c>
      <c r="I54" s="3" t="s">
        <v>29</v>
      </c>
      <c r="J54" s="3" t="s">
        <v>29</v>
      </c>
      <c r="K54">
        <v>0.66747504999999996</v>
      </c>
      <c r="L54" s="5">
        <f t="shared" si="1"/>
        <v>6.9995537640375283E-4</v>
      </c>
      <c r="M54">
        <f t="shared" si="2"/>
        <v>5</v>
      </c>
    </row>
    <row r="55" spans="1:13" x14ac:dyDescent="0.3">
      <c r="A55" t="s">
        <v>24</v>
      </c>
      <c r="B55" s="3" t="s">
        <v>29</v>
      </c>
      <c r="C55" s="3" t="s">
        <v>29</v>
      </c>
      <c r="D55" s="3" t="s">
        <v>29</v>
      </c>
      <c r="E55" s="3" t="s">
        <v>29</v>
      </c>
      <c r="F55" s="3"/>
      <c r="G55" s="3" t="s">
        <v>29</v>
      </c>
      <c r="H55" s="3" t="s">
        <v>29</v>
      </c>
      <c r="I55" s="3"/>
      <c r="J55" s="3" t="s">
        <v>29</v>
      </c>
      <c r="K55">
        <v>0.84075907000000005</v>
      </c>
      <c r="L55" s="5">
        <f t="shared" si="1"/>
        <v>6.6612031060863091E-4</v>
      </c>
      <c r="M55">
        <f t="shared" si="2"/>
        <v>7</v>
      </c>
    </row>
    <row r="56" spans="1:13" x14ac:dyDescent="0.3">
      <c r="A56" t="s">
        <v>21</v>
      </c>
      <c r="B56" s="3" t="s">
        <v>29</v>
      </c>
      <c r="C56" s="3" t="s">
        <v>29</v>
      </c>
      <c r="D56" s="3" t="s">
        <v>29</v>
      </c>
      <c r="E56" s="3" t="s">
        <v>29</v>
      </c>
      <c r="F56" s="3"/>
      <c r="G56" s="3"/>
      <c r="H56" s="3" t="s">
        <v>29</v>
      </c>
      <c r="I56" s="3"/>
      <c r="J56" s="3" t="s">
        <v>29</v>
      </c>
      <c r="K56">
        <v>0.50187263999999998</v>
      </c>
      <c r="L56" s="5">
        <f t="shared" si="1"/>
        <v>7.6411168621807904E-4</v>
      </c>
      <c r="M56">
        <f t="shared" si="2"/>
        <v>6</v>
      </c>
    </row>
    <row r="57" spans="1:13" x14ac:dyDescent="0.3">
      <c r="A57" t="s">
        <v>23</v>
      </c>
      <c r="B57" s="3" t="s">
        <v>29</v>
      </c>
      <c r="C57" s="3"/>
      <c r="D57" s="3" t="s">
        <v>29</v>
      </c>
      <c r="E57" s="3"/>
      <c r="F57" s="3" t="s">
        <v>29</v>
      </c>
      <c r="G57" s="3" t="s">
        <v>29</v>
      </c>
      <c r="H57" s="3" t="s">
        <v>29</v>
      </c>
      <c r="I57" s="3" t="s">
        <v>29</v>
      </c>
      <c r="J57" s="3" t="s">
        <v>29</v>
      </c>
      <c r="K57">
        <v>0.61236919999999995</v>
      </c>
      <c r="L57" s="5">
        <f t="shared" si="1"/>
        <v>1.7053536438584693E-3</v>
      </c>
      <c r="M57">
        <f t="shared" si="2"/>
        <v>7</v>
      </c>
    </row>
    <row r="58" spans="1:13" x14ac:dyDescent="0.3">
      <c r="A58" t="s">
        <v>33</v>
      </c>
      <c r="B58" s="3" t="s">
        <v>29</v>
      </c>
      <c r="C58" s="3"/>
      <c r="D58" s="3"/>
      <c r="E58" s="3" t="s">
        <v>29</v>
      </c>
      <c r="F58" s="3" t="s">
        <v>29</v>
      </c>
      <c r="G58" s="3"/>
      <c r="H58" s="3" t="s">
        <v>29</v>
      </c>
      <c r="I58" s="3"/>
      <c r="J58" s="3" t="s">
        <v>29</v>
      </c>
      <c r="K58">
        <v>0.71911272999999998</v>
      </c>
      <c r="L58" s="5">
        <f t="shared" si="1"/>
        <v>3.3035362169903234E-4</v>
      </c>
      <c r="M58">
        <f t="shared" si="2"/>
        <v>5</v>
      </c>
    </row>
    <row r="59" spans="1:13" x14ac:dyDescent="0.3">
      <c r="A59" t="s">
        <v>34</v>
      </c>
      <c r="B59" s="3" t="s">
        <v>29</v>
      </c>
      <c r="C59" s="3" t="s">
        <v>29</v>
      </c>
      <c r="D59" s="3" t="s">
        <v>29</v>
      </c>
      <c r="E59" s="3" t="s">
        <v>29</v>
      </c>
      <c r="F59" s="3"/>
      <c r="G59" s="3"/>
      <c r="H59" s="3" t="s">
        <v>29</v>
      </c>
      <c r="I59" s="3"/>
      <c r="J59" s="3" t="s">
        <v>29</v>
      </c>
      <c r="K59">
        <v>0.79489098000000002</v>
      </c>
      <c r="L59" s="5">
        <f t="shared" si="1"/>
        <v>7.5992067892366005E-5</v>
      </c>
      <c r="M59">
        <f t="shared" si="2"/>
        <v>6</v>
      </c>
    </row>
    <row r="60" spans="1:13" x14ac:dyDescent="0.3">
      <c r="A60" t="s">
        <v>17</v>
      </c>
      <c r="B60" s="3" t="s">
        <v>29</v>
      </c>
      <c r="C60" s="3"/>
      <c r="D60" s="3"/>
      <c r="E60" s="3" t="s">
        <v>29</v>
      </c>
      <c r="F60" s="3"/>
      <c r="G60" s="3" t="s">
        <v>29</v>
      </c>
      <c r="H60" s="3" t="s">
        <v>29</v>
      </c>
      <c r="I60" s="3" t="s">
        <v>29</v>
      </c>
      <c r="J60" s="3" t="s">
        <v>29</v>
      </c>
      <c r="K60">
        <v>0.35025242000000001</v>
      </c>
      <c r="L60" s="5">
        <f t="shared" si="1"/>
        <v>2.722797092520636E-3</v>
      </c>
      <c r="M60">
        <f t="shared" si="2"/>
        <v>6</v>
      </c>
    </row>
    <row r="61" spans="1:13" x14ac:dyDescent="0.3">
      <c r="A61" t="s">
        <v>35</v>
      </c>
      <c r="B61" s="3" t="s">
        <v>29</v>
      </c>
      <c r="C61" s="3" t="s">
        <v>29</v>
      </c>
      <c r="D61" s="3" t="s">
        <v>29</v>
      </c>
      <c r="E61" s="3" t="s">
        <v>29</v>
      </c>
      <c r="F61" s="3"/>
      <c r="G61" s="3"/>
      <c r="H61" s="3" t="s">
        <v>29</v>
      </c>
      <c r="I61" s="3" t="s">
        <v>29</v>
      </c>
      <c r="J61" s="3"/>
      <c r="K61">
        <v>0.39921584999999998</v>
      </c>
      <c r="L61" s="5">
        <f t="shared" si="1"/>
        <v>3.4365346330748449E-3</v>
      </c>
      <c r="M61">
        <f t="shared" si="2"/>
        <v>6</v>
      </c>
    </row>
    <row r="62" spans="1:13" x14ac:dyDescent="0.3">
      <c r="A62" t="s">
        <v>15</v>
      </c>
      <c r="B62" s="3" t="s">
        <v>29</v>
      </c>
      <c r="C62" s="3" t="s">
        <v>29</v>
      </c>
      <c r="D62" s="3"/>
      <c r="E62" s="3" t="s">
        <v>29</v>
      </c>
      <c r="F62" s="3"/>
      <c r="G62" s="3" t="s">
        <v>29</v>
      </c>
      <c r="H62" s="3" t="s">
        <v>29</v>
      </c>
      <c r="I62" s="3"/>
      <c r="J62" s="3"/>
      <c r="K62">
        <v>0.68845029000000002</v>
      </c>
      <c r="L62" s="5">
        <f t="shared" si="1"/>
        <v>3.7904123954164151E-4</v>
      </c>
      <c r="M62">
        <f t="shared" si="2"/>
        <v>5</v>
      </c>
    </row>
    <row r="63" spans="1:13" x14ac:dyDescent="0.3">
      <c r="A63" t="s">
        <v>11</v>
      </c>
      <c r="B63" s="3" t="s">
        <v>29</v>
      </c>
      <c r="C63" s="3" t="s">
        <v>29</v>
      </c>
      <c r="D63" s="3" t="s">
        <v>29</v>
      </c>
      <c r="E63" s="3" t="s">
        <v>29</v>
      </c>
      <c r="F63" s="3"/>
      <c r="G63" s="3" t="s">
        <v>29</v>
      </c>
      <c r="H63" s="3" t="s">
        <v>29</v>
      </c>
      <c r="I63" s="3"/>
      <c r="J63" s="3"/>
      <c r="K63">
        <v>0.74069196000000004</v>
      </c>
      <c r="L63" s="5">
        <f t="shared" si="1"/>
        <v>7.1680156506682741E-4</v>
      </c>
      <c r="M63">
        <f t="shared" si="2"/>
        <v>6</v>
      </c>
    </row>
    <row r="64" spans="1:13" x14ac:dyDescent="0.3">
      <c r="A64" t="s">
        <v>10</v>
      </c>
      <c r="B64" s="3" t="s">
        <v>29</v>
      </c>
      <c r="C64" s="3"/>
      <c r="D64" s="3" t="s">
        <v>29</v>
      </c>
      <c r="E64" s="3" t="s">
        <v>29</v>
      </c>
      <c r="F64" s="3"/>
      <c r="G64" s="3" t="s">
        <v>29</v>
      </c>
      <c r="H64" s="3" t="s">
        <v>29</v>
      </c>
      <c r="I64" s="3"/>
      <c r="J64" s="3" t="s">
        <v>29</v>
      </c>
      <c r="K64">
        <v>0.70133303999999996</v>
      </c>
      <c r="L64" s="5">
        <f t="shared" si="1"/>
        <v>3.8294582401418396E-3</v>
      </c>
      <c r="M64">
        <f t="shared" si="2"/>
        <v>6</v>
      </c>
    </row>
    <row r="67" spans="1:13" x14ac:dyDescent="0.3">
      <c r="A67" s="24" t="s">
        <v>83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spans="1:13" x14ac:dyDescent="0.3">
      <c r="A68" t="s">
        <v>0</v>
      </c>
      <c r="B68" s="3" t="s">
        <v>3</v>
      </c>
      <c r="C68" s="3" t="s">
        <v>72</v>
      </c>
      <c r="D68" s="3" t="s">
        <v>73</v>
      </c>
      <c r="E68" s="3" t="s">
        <v>74</v>
      </c>
      <c r="F68" s="3" t="s">
        <v>75</v>
      </c>
      <c r="G68" s="3" t="s">
        <v>76</v>
      </c>
      <c r="H68" s="3" t="s">
        <v>77</v>
      </c>
      <c r="I68" s="3" t="s">
        <v>78</v>
      </c>
      <c r="J68" s="3" t="s">
        <v>79</v>
      </c>
      <c r="K68" t="s">
        <v>28</v>
      </c>
      <c r="L68" s="3" t="s">
        <v>82</v>
      </c>
      <c r="M68" s="3" t="s">
        <v>84</v>
      </c>
    </row>
    <row r="69" spans="1:13" x14ac:dyDescent="0.3">
      <c r="A69" t="s">
        <v>7</v>
      </c>
      <c r="B69" s="3" t="s">
        <v>29</v>
      </c>
      <c r="C69" s="3"/>
      <c r="D69" s="3" t="s">
        <v>29</v>
      </c>
      <c r="E69" s="3" t="s">
        <v>29</v>
      </c>
      <c r="F69" s="3" t="s">
        <v>29</v>
      </c>
      <c r="G69" s="3" t="s">
        <v>29</v>
      </c>
      <c r="H69" s="3" t="s">
        <v>29</v>
      </c>
      <c r="I69" s="3"/>
      <c r="J69" s="3" t="s">
        <v>29</v>
      </c>
      <c r="K69">
        <v>0.49315588999999999</v>
      </c>
      <c r="L69" s="5">
        <f>(K21-K69)/K21</f>
        <v>5.6916542183866924E-3</v>
      </c>
      <c r="M69">
        <f>COUNTIF(B69:J69,"X")</f>
        <v>7</v>
      </c>
    </row>
    <row r="70" spans="1:13" x14ac:dyDescent="0.3">
      <c r="A70" t="s">
        <v>18</v>
      </c>
      <c r="B70" s="3"/>
      <c r="C70" s="3" t="s">
        <v>29</v>
      </c>
      <c r="D70" s="3" t="s">
        <v>29</v>
      </c>
      <c r="E70" s="3"/>
      <c r="F70" s="3" t="s">
        <v>29</v>
      </c>
      <c r="G70" s="3"/>
      <c r="H70" s="3" t="s">
        <v>29</v>
      </c>
      <c r="I70" s="3"/>
      <c r="J70" s="3"/>
      <c r="K70">
        <v>0.14609643</v>
      </c>
      <c r="L70" s="5">
        <f t="shared" ref="L70:L88" si="3">(K22-K70)/K22</f>
        <v>1.9876596697607791E-2</v>
      </c>
      <c r="M70">
        <f t="shared" ref="M70:M88" si="4">COUNTIF(B70:J70,"X")</f>
        <v>4</v>
      </c>
    </row>
    <row r="71" spans="1:13" x14ac:dyDescent="0.3">
      <c r="A71" t="s">
        <v>8</v>
      </c>
      <c r="B71" s="3" t="s">
        <v>29</v>
      </c>
      <c r="C71" s="3" t="s">
        <v>29</v>
      </c>
      <c r="D71" s="3" t="s">
        <v>29</v>
      </c>
      <c r="E71" s="3"/>
      <c r="F71" s="3"/>
      <c r="G71" s="3"/>
      <c r="H71" s="3" t="s">
        <v>29</v>
      </c>
      <c r="I71" s="3" t="s">
        <v>29</v>
      </c>
      <c r="J71" s="3" t="s">
        <v>29</v>
      </c>
      <c r="K71">
        <v>0.31147134999999998</v>
      </c>
      <c r="L71" s="5">
        <f t="shared" si="3"/>
        <v>1.0466447390430034E-2</v>
      </c>
      <c r="M71">
        <f t="shared" si="4"/>
        <v>6</v>
      </c>
    </row>
    <row r="72" spans="1:13" x14ac:dyDescent="0.3">
      <c r="A72" t="s">
        <v>9</v>
      </c>
      <c r="B72" s="3"/>
      <c r="C72" s="3" t="s">
        <v>29</v>
      </c>
      <c r="D72" s="3"/>
      <c r="E72" s="3" t="s">
        <v>29</v>
      </c>
      <c r="F72" s="3" t="s">
        <v>29</v>
      </c>
      <c r="G72" s="3"/>
      <c r="H72" s="3" t="s">
        <v>29</v>
      </c>
      <c r="I72" s="3"/>
      <c r="J72" s="3" t="s">
        <v>29</v>
      </c>
      <c r="K72">
        <v>0.13494734</v>
      </c>
      <c r="L72" s="5">
        <f t="shared" si="3"/>
        <v>1.9892257925865166E-2</v>
      </c>
      <c r="M72">
        <f t="shared" si="4"/>
        <v>5</v>
      </c>
    </row>
    <row r="73" spans="1:13" x14ac:dyDescent="0.3">
      <c r="A73" t="s">
        <v>19</v>
      </c>
      <c r="B73" s="3"/>
      <c r="C73" s="3"/>
      <c r="D73" s="3" t="s">
        <v>29</v>
      </c>
      <c r="E73" s="3"/>
      <c r="F73" s="3"/>
      <c r="G73" s="3" t="s">
        <v>29</v>
      </c>
      <c r="H73" s="3"/>
      <c r="I73" s="3"/>
      <c r="J73" s="3" t="s">
        <v>29</v>
      </c>
      <c r="K73">
        <v>7.9927860000000003E-2</v>
      </c>
      <c r="L73" s="5">
        <f t="shared" si="3"/>
        <v>2.0917980422980039E-2</v>
      </c>
      <c r="M73">
        <f t="shared" si="4"/>
        <v>3</v>
      </c>
    </row>
    <row r="74" spans="1:13" x14ac:dyDescent="0.3">
      <c r="A74" t="s">
        <v>14</v>
      </c>
      <c r="B74" s="3" t="s">
        <v>29</v>
      </c>
      <c r="C74" s="3"/>
      <c r="D74" s="3"/>
      <c r="E74" s="3" t="s">
        <v>29</v>
      </c>
      <c r="F74" s="3"/>
      <c r="G74" s="3" t="s">
        <v>29</v>
      </c>
      <c r="H74" s="3" t="s">
        <v>29</v>
      </c>
      <c r="I74" s="3"/>
      <c r="J74" s="3" t="s">
        <v>29</v>
      </c>
      <c r="K74">
        <v>0.64793535999999996</v>
      </c>
      <c r="L74" s="5">
        <f t="shared" si="3"/>
        <v>1.3669844789087986E-3</v>
      </c>
      <c r="M74">
        <f t="shared" si="4"/>
        <v>5</v>
      </c>
    </row>
    <row r="75" spans="1:13" x14ac:dyDescent="0.3">
      <c r="A75" t="s">
        <v>16</v>
      </c>
      <c r="B75" s="3" t="s">
        <v>29</v>
      </c>
      <c r="C75" s="3" t="s">
        <v>29</v>
      </c>
      <c r="D75" s="3" t="s">
        <v>29</v>
      </c>
      <c r="E75" s="3" t="s">
        <v>29</v>
      </c>
      <c r="F75" s="3"/>
      <c r="G75" s="3"/>
      <c r="H75" s="3" t="s">
        <v>29</v>
      </c>
      <c r="I75" s="3" t="s">
        <v>29</v>
      </c>
      <c r="J75" s="3" t="s">
        <v>29</v>
      </c>
      <c r="K75">
        <v>0.65020880999999997</v>
      </c>
      <c r="L75" s="5">
        <f t="shared" si="3"/>
        <v>3.5123644248436286E-3</v>
      </c>
      <c r="M75">
        <f t="shared" si="4"/>
        <v>7</v>
      </c>
    </row>
    <row r="76" spans="1:13" x14ac:dyDescent="0.3">
      <c r="A76" t="s">
        <v>20</v>
      </c>
      <c r="B76" s="3"/>
      <c r="C76" s="3" t="s">
        <v>29</v>
      </c>
      <c r="D76" s="3"/>
      <c r="E76" s="3" t="s">
        <v>29</v>
      </c>
      <c r="F76" s="3"/>
      <c r="G76" s="3"/>
      <c r="H76" s="3" t="s">
        <v>29</v>
      </c>
      <c r="I76" s="3"/>
      <c r="J76" s="3"/>
      <c r="K76">
        <v>2.5905569999999999E-2</v>
      </c>
      <c r="L76" s="5">
        <f t="shared" si="3"/>
        <v>0.17026504171804685</v>
      </c>
      <c r="M76" s="8">
        <f t="shared" si="4"/>
        <v>3</v>
      </c>
    </row>
    <row r="77" spans="1:13" x14ac:dyDescent="0.3">
      <c r="A77" t="s">
        <v>22</v>
      </c>
      <c r="B77" s="3"/>
      <c r="C77" s="3" t="s">
        <v>29</v>
      </c>
      <c r="D77" s="3"/>
      <c r="E77" s="3"/>
      <c r="F77" s="3" t="s">
        <v>29</v>
      </c>
      <c r="G77" s="3"/>
      <c r="H77" s="3" t="s">
        <v>29</v>
      </c>
      <c r="I77" s="3" t="s">
        <v>29</v>
      </c>
      <c r="J77" s="3" t="s">
        <v>29</v>
      </c>
      <c r="K77">
        <v>0.78396732000000002</v>
      </c>
      <c r="L77" s="5">
        <f t="shared" si="3"/>
        <v>1.128847900620349E-3</v>
      </c>
      <c r="M77">
        <f t="shared" si="4"/>
        <v>5</v>
      </c>
    </row>
    <row r="78" spans="1:13" x14ac:dyDescent="0.3">
      <c r="A78" t="s">
        <v>12</v>
      </c>
      <c r="B78" s="3" t="s">
        <v>29</v>
      </c>
      <c r="C78" s="3"/>
      <c r="D78" s="3"/>
      <c r="E78" s="3" t="s">
        <v>29</v>
      </c>
      <c r="F78" s="3"/>
      <c r="G78" s="3" t="s">
        <v>29</v>
      </c>
      <c r="H78" s="3" t="s">
        <v>29</v>
      </c>
      <c r="I78" s="3" t="s">
        <v>29</v>
      </c>
      <c r="J78" s="3" t="s">
        <v>29</v>
      </c>
      <c r="K78">
        <v>0.66740323000000001</v>
      </c>
      <c r="L78" s="5">
        <f t="shared" si="3"/>
        <v>8.0747958903883404E-4</v>
      </c>
      <c r="M78">
        <f t="shared" si="4"/>
        <v>6</v>
      </c>
    </row>
    <row r="79" spans="1:13" x14ac:dyDescent="0.3">
      <c r="A79" t="s">
        <v>24</v>
      </c>
      <c r="B79" s="3" t="s">
        <v>29</v>
      </c>
      <c r="C79" s="3"/>
      <c r="D79" s="3" t="s">
        <v>29</v>
      </c>
      <c r="E79" s="3" t="s">
        <v>29</v>
      </c>
      <c r="F79" s="3"/>
      <c r="G79" s="3" t="s">
        <v>29</v>
      </c>
      <c r="H79" s="3" t="s">
        <v>29</v>
      </c>
      <c r="I79" s="3" t="s">
        <v>29</v>
      </c>
      <c r="J79" s="3" t="s">
        <v>29</v>
      </c>
      <c r="K79">
        <v>0.84023639999999999</v>
      </c>
      <c r="L79" s="5">
        <f t="shared" si="3"/>
        <v>1.2873706277741804E-3</v>
      </c>
      <c r="M79">
        <f t="shared" si="4"/>
        <v>7</v>
      </c>
    </row>
    <row r="80" spans="1:13" x14ac:dyDescent="0.3">
      <c r="A80" t="s">
        <v>21</v>
      </c>
      <c r="B80" s="3"/>
      <c r="C80" s="3" t="s">
        <v>29</v>
      </c>
      <c r="D80" s="3" t="s">
        <v>29</v>
      </c>
      <c r="E80" s="3" t="s">
        <v>29</v>
      </c>
      <c r="F80" s="3"/>
      <c r="G80" s="3"/>
      <c r="H80" s="3" t="s">
        <v>29</v>
      </c>
      <c r="I80" s="3"/>
      <c r="J80" s="3" t="s">
        <v>29</v>
      </c>
      <c r="K80">
        <v>0.50180722</v>
      </c>
      <c r="L80" s="5">
        <f t="shared" si="3"/>
        <v>8.943638789127642E-4</v>
      </c>
      <c r="M80">
        <f t="shared" si="4"/>
        <v>5</v>
      </c>
    </row>
    <row r="81" spans="1:13" x14ac:dyDescent="0.3">
      <c r="A81" t="s">
        <v>23</v>
      </c>
      <c r="B81" s="3"/>
      <c r="C81" s="3"/>
      <c r="D81" s="3" t="s">
        <v>29</v>
      </c>
      <c r="E81" s="3" t="s">
        <v>29</v>
      </c>
      <c r="F81" s="3" t="s">
        <v>29</v>
      </c>
      <c r="G81" s="3" t="s">
        <v>29</v>
      </c>
      <c r="H81" s="3" t="s">
        <v>29</v>
      </c>
      <c r="I81" s="3" t="s">
        <v>29</v>
      </c>
      <c r="J81" s="3" t="s">
        <v>29</v>
      </c>
      <c r="K81">
        <v>0.61042788999999997</v>
      </c>
      <c r="L81" s="5">
        <f t="shared" si="3"/>
        <v>4.8701101011029146E-3</v>
      </c>
      <c r="M81">
        <f t="shared" si="4"/>
        <v>7</v>
      </c>
    </row>
    <row r="82" spans="1:13" x14ac:dyDescent="0.3">
      <c r="A82" t="s">
        <v>33</v>
      </c>
      <c r="B82" s="3" t="s">
        <v>29</v>
      </c>
      <c r="C82" s="3"/>
      <c r="D82" s="3"/>
      <c r="E82" s="3" t="s">
        <v>29</v>
      </c>
      <c r="F82" s="3" t="s">
        <v>29</v>
      </c>
      <c r="G82" s="3" t="s">
        <v>29</v>
      </c>
      <c r="H82" s="3" t="s">
        <v>29</v>
      </c>
      <c r="I82" s="3"/>
      <c r="J82" s="3" t="s">
        <v>29</v>
      </c>
      <c r="K82">
        <v>0.71883783000000001</v>
      </c>
      <c r="L82" s="5">
        <f t="shared" si="3"/>
        <v>7.1250397772090637E-4</v>
      </c>
      <c r="M82">
        <f t="shared" si="4"/>
        <v>6</v>
      </c>
    </row>
    <row r="83" spans="1:13" x14ac:dyDescent="0.3">
      <c r="A83" t="s">
        <v>34</v>
      </c>
      <c r="B83" s="3" t="s">
        <v>29</v>
      </c>
      <c r="C83" s="3" t="s">
        <v>29</v>
      </c>
      <c r="D83" s="3" t="s">
        <v>29</v>
      </c>
      <c r="E83" s="3" t="s">
        <v>29</v>
      </c>
      <c r="F83" s="3" t="s">
        <v>29</v>
      </c>
      <c r="G83" s="3"/>
      <c r="H83" s="3" t="s">
        <v>29</v>
      </c>
      <c r="I83" s="3"/>
      <c r="J83" s="3"/>
      <c r="K83">
        <v>0.79449654000000003</v>
      </c>
      <c r="L83" s="5">
        <f t="shared" si="3"/>
        <v>5.7217335012145411E-4</v>
      </c>
      <c r="M83">
        <f t="shared" si="4"/>
        <v>6</v>
      </c>
    </row>
    <row r="84" spans="1:13" x14ac:dyDescent="0.3">
      <c r="A84" t="s">
        <v>17</v>
      </c>
      <c r="B84" s="3" t="s">
        <v>29</v>
      </c>
      <c r="C84" s="3"/>
      <c r="D84" s="3"/>
      <c r="E84" s="3" t="s">
        <v>29</v>
      </c>
      <c r="F84" s="3"/>
      <c r="G84" s="3" t="s">
        <v>29</v>
      </c>
      <c r="H84" s="3" t="s">
        <v>29</v>
      </c>
      <c r="I84" s="3" t="s">
        <v>29</v>
      </c>
      <c r="J84" s="3"/>
      <c r="K84">
        <v>0.34961182000000002</v>
      </c>
      <c r="L84" s="5">
        <f t="shared" si="3"/>
        <v>4.5467838509348178E-3</v>
      </c>
      <c r="M84">
        <f t="shared" si="4"/>
        <v>5</v>
      </c>
    </row>
    <row r="85" spans="1:13" x14ac:dyDescent="0.3">
      <c r="A85" t="s">
        <v>35</v>
      </c>
      <c r="B85" s="3" t="s">
        <v>29</v>
      </c>
      <c r="C85" s="3" t="s">
        <v>29</v>
      </c>
      <c r="D85" s="3" t="s">
        <v>29</v>
      </c>
      <c r="E85" s="3" t="s">
        <v>29</v>
      </c>
      <c r="F85" s="3"/>
      <c r="G85" s="3"/>
      <c r="H85" s="3" t="s">
        <v>29</v>
      </c>
      <c r="I85" s="3"/>
      <c r="J85" s="3"/>
      <c r="K85">
        <v>0.39826609000000002</v>
      </c>
      <c r="L85" s="5">
        <f t="shared" si="3"/>
        <v>5.8074227550440928E-3</v>
      </c>
      <c r="M85">
        <f t="shared" si="4"/>
        <v>5</v>
      </c>
    </row>
    <row r="86" spans="1:13" x14ac:dyDescent="0.3">
      <c r="A86" t="s">
        <v>15</v>
      </c>
      <c r="B86" s="3" t="s">
        <v>29</v>
      </c>
      <c r="C86" s="3" t="s">
        <v>29</v>
      </c>
      <c r="D86" s="3"/>
      <c r="E86" s="3" t="s">
        <v>29</v>
      </c>
      <c r="F86" s="3"/>
      <c r="G86" s="3"/>
      <c r="H86" s="3" t="s">
        <v>29</v>
      </c>
      <c r="I86" s="3"/>
      <c r="J86" s="3"/>
      <c r="K86">
        <v>0.68820766</v>
      </c>
      <c r="L86" s="5">
        <f t="shared" si="3"/>
        <v>7.3133687620129258E-4</v>
      </c>
      <c r="M86">
        <f t="shared" si="4"/>
        <v>4</v>
      </c>
    </row>
    <row r="87" spans="1:13" x14ac:dyDescent="0.3">
      <c r="A87" t="s">
        <v>11</v>
      </c>
      <c r="B87" s="3" t="s">
        <v>29</v>
      </c>
      <c r="C87" s="3" t="s">
        <v>29</v>
      </c>
      <c r="D87" s="3" t="s">
        <v>29</v>
      </c>
      <c r="E87" s="3" t="s">
        <v>29</v>
      </c>
      <c r="F87" s="3"/>
      <c r="G87" s="3" t="s">
        <v>29</v>
      </c>
      <c r="H87" s="3" t="s">
        <v>29</v>
      </c>
      <c r="I87" s="3" t="s">
        <v>29</v>
      </c>
      <c r="J87" s="3"/>
      <c r="K87">
        <v>0.73882338000000003</v>
      </c>
      <c r="L87" s="5">
        <f t="shared" si="3"/>
        <v>3.2377423876613588E-3</v>
      </c>
      <c r="M87">
        <f t="shared" si="4"/>
        <v>7</v>
      </c>
    </row>
    <row r="88" spans="1:13" x14ac:dyDescent="0.3">
      <c r="A88" t="s">
        <v>10</v>
      </c>
      <c r="B88" s="3" t="s">
        <v>29</v>
      </c>
      <c r="C88" s="3" t="s">
        <v>29</v>
      </c>
      <c r="D88" s="3" t="s">
        <v>29</v>
      </c>
      <c r="E88" s="3" t="s">
        <v>29</v>
      </c>
      <c r="F88" s="3" t="s">
        <v>29</v>
      </c>
      <c r="G88" s="3" t="s">
        <v>29</v>
      </c>
      <c r="H88" s="3" t="s">
        <v>29</v>
      </c>
      <c r="I88" s="3"/>
      <c r="J88" s="3" t="s">
        <v>29</v>
      </c>
      <c r="K88">
        <v>0.70130506999999997</v>
      </c>
      <c r="L88" s="5">
        <f t="shared" si="3"/>
        <v>3.8691867121570917E-3</v>
      </c>
      <c r="M88">
        <f t="shared" si="4"/>
        <v>8</v>
      </c>
    </row>
    <row r="91" spans="1:13" ht="42.6" customHeight="1" x14ac:dyDescent="0.3">
      <c r="A91" s="25" t="s">
        <v>85</v>
      </c>
      <c r="B91" s="25"/>
      <c r="C91" s="25"/>
      <c r="D91" s="25"/>
      <c r="E91" s="26" t="s">
        <v>86</v>
      </c>
      <c r="F91" s="26"/>
      <c r="G91" s="26"/>
      <c r="H91" s="26"/>
      <c r="I91" s="27" t="s">
        <v>87</v>
      </c>
      <c r="J91" s="27"/>
      <c r="K91" s="27"/>
      <c r="L91" s="27"/>
    </row>
    <row r="92" spans="1:13" x14ac:dyDescent="0.3">
      <c r="A92" s="10" t="s">
        <v>0</v>
      </c>
      <c r="B92" s="10" t="s">
        <v>32</v>
      </c>
      <c r="C92" s="10" t="s">
        <v>28</v>
      </c>
      <c r="D92" s="10" t="s">
        <v>82</v>
      </c>
      <c r="E92" s="11"/>
      <c r="F92" s="11" t="s">
        <v>32</v>
      </c>
      <c r="G92" s="11" t="s">
        <v>28</v>
      </c>
      <c r="H92" s="11" t="s">
        <v>82</v>
      </c>
      <c r="I92" s="12"/>
      <c r="J92" s="12" t="s">
        <v>32</v>
      </c>
      <c r="K92" s="12" t="s">
        <v>28</v>
      </c>
      <c r="L92" s="12" t="s">
        <v>82</v>
      </c>
      <c r="M92" s="13" t="s">
        <v>88</v>
      </c>
    </row>
    <row r="93" spans="1:13" x14ac:dyDescent="0.3">
      <c r="A93" t="s">
        <v>7</v>
      </c>
      <c r="B93">
        <v>0.50197338999999996</v>
      </c>
      <c r="C93">
        <v>0.48723886999999999</v>
      </c>
      <c r="D93" s="5">
        <f>($K21-C93)/$K21</f>
        <v>1.7621639213915626E-2</v>
      </c>
      <c r="F93">
        <v>0.45640479</v>
      </c>
      <c r="G93">
        <v>0.44361431499999998</v>
      </c>
      <c r="H93" s="5">
        <f>($K21-G93)/$K21</f>
        <v>0.10557812517925412</v>
      </c>
      <c r="J93">
        <v>0.49517787000000002</v>
      </c>
      <c r="K93" s="14">
        <v>0.4832997</v>
      </c>
      <c r="L93" s="5">
        <f>($K21-K93)/$K21</f>
        <v>2.556385319913752E-2</v>
      </c>
      <c r="M93">
        <v>0.49597882999999998</v>
      </c>
    </row>
    <row r="94" spans="1:13" x14ac:dyDescent="0.3">
      <c r="A94" t="s">
        <v>18</v>
      </c>
      <c r="B94">
        <v>0.14794077999999999</v>
      </c>
      <c r="C94">
        <v>0.12258187</v>
      </c>
      <c r="D94" s="5">
        <f t="shared" ref="D94:D112" si="5">($K22-C94)/$K22</f>
        <v>0.17762973669122914</v>
      </c>
      <c r="F94">
        <v>0.13473995999999999</v>
      </c>
      <c r="G94">
        <v>0.114260429</v>
      </c>
      <c r="H94" s="5">
        <f t="shared" ref="H94:H112" si="6">($K22-G94)/$K22</f>
        <v>0.23345614581909122</v>
      </c>
      <c r="J94">
        <v>0.13839151999999999</v>
      </c>
      <c r="K94" s="14">
        <v>0.11799842000000001</v>
      </c>
      <c r="L94" s="5">
        <f t="shared" ref="L94:L112" si="7">($K22-K94)/$K22</f>
        <v>0.20837892483269393</v>
      </c>
      <c r="M94">
        <v>0.14905921999999999</v>
      </c>
    </row>
    <row r="95" spans="1:13" x14ac:dyDescent="0.3">
      <c r="A95" t="s">
        <v>8</v>
      </c>
      <c r="B95">
        <v>0.30121018999999999</v>
      </c>
      <c r="C95">
        <v>0.27990563000000002</v>
      </c>
      <c r="D95" s="5">
        <f t="shared" si="5"/>
        <v>0.11074963251252529</v>
      </c>
      <c r="F95">
        <v>0.28350149000000002</v>
      </c>
      <c r="G95">
        <v>0.26613183099999999</v>
      </c>
      <c r="H95" s="5">
        <f t="shared" si="6"/>
        <v>0.15450850875395222</v>
      </c>
      <c r="J95">
        <v>0.27693435</v>
      </c>
      <c r="K95" s="14">
        <v>0.25940548000000002</v>
      </c>
      <c r="L95" s="5">
        <f t="shared" si="7"/>
        <v>0.17587788992216849</v>
      </c>
      <c r="M95">
        <v>0.31476583000000002</v>
      </c>
    </row>
    <row r="96" spans="1:13" x14ac:dyDescent="0.3">
      <c r="A96" t="s">
        <v>9</v>
      </c>
      <c r="B96">
        <v>0.158413</v>
      </c>
      <c r="C96">
        <v>0.13243809000000001</v>
      </c>
      <c r="D96" s="5">
        <f t="shared" si="5"/>
        <v>3.8116665697070687E-2</v>
      </c>
      <c r="F96">
        <v>0.13428186</v>
      </c>
      <c r="G96">
        <v>0.11303724699999999</v>
      </c>
      <c r="H96" s="5">
        <f t="shared" si="6"/>
        <v>0.17902286234433176</v>
      </c>
      <c r="J96">
        <v>0.14375147999999999</v>
      </c>
      <c r="K96" s="14">
        <v>0.12273924</v>
      </c>
      <c r="L96" s="5">
        <f t="shared" si="7"/>
        <v>0.1085583503884157</v>
      </c>
      <c r="M96">
        <v>0.13768622999999999</v>
      </c>
    </row>
    <row r="97" spans="1:13" x14ac:dyDescent="0.3">
      <c r="A97" t="s">
        <v>19</v>
      </c>
      <c r="B97">
        <v>0.10137027</v>
      </c>
      <c r="C97">
        <v>7.2382210000000002E-2</v>
      </c>
      <c r="D97" s="5">
        <f t="shared" si="5"/>
        <v>0.11334895806983986</v>
      </c>
      <c r="F97">
        <v>9.9666489999999996E-2</v>
      </c>
      <c r="G97">
        <v>7.6581015000000002E-2</v>
      </c>
      <c r="H97" s="5">
        <f t="shared" si="6"/>
        <v>6.1915396865898094E-2</v>
      </c>
      <c r="J97">
        <v>9.6019149999999998E-2</v>
      </c>
      <c r="K97" s="14">
        <v>7.2840150000000006E-2</v>
      </c>
      <c r="L97" s="5">
        <f t="shared" si="7"/>
        <v>0.10773938939071966</v>
      </c>
      <c r="M97">
        <v>8.1635509999999994E-2</v>
      </c>
    </row>
    <row r="98" spans="1:13" x14ac:dyDescent="0.3">
      <c r="A98" t="s">
        <v>14</v>
      </c>
      <c r="B98">
        <v>0.65893738000000002</v>
      </c>
      <c r="C98">
        <v>0.64793535999999996</v>
      </c>
      <c r="D98" s="5">
        <f t="shared" si="5"/>
        <v>1.3669844789087986E-3</v>
      </c>
      <c r="F98">
        <v>0.64229477999999995</v>
      </c>
      <c r="G98">
        <v>0.63312285499999998</v>
      </c>
      <c r="H98" s="5">
        <f t="shared" si="6"/>
        <v>2.4196818207340008E-2</v>
      </c>
      <c r="J98">
        <v>0.63961999000000003</v>
      </c>
      <c r="K98" s="14">
        <v>0.63037947999999999</v>
      </c>
      <c r="L98" s="5">
        <f t="shared" si="7"/>
        <v>2.8425056112051931E-2</v>
      </c>
      <c r="M98">
        <v>0.64882229000000002</v>
      </c>
    </row>
    <row r="99" spans="1:13" x14ac:dyDescent="0.3">
      <c r="A99" t="s">
        <v>16</v>
      </c>
      <c r="B99">
        <v>0.63195338999999995</v>
      </c>
      <c r="C99">
        <v>0.61992572999999995</v>
      </c>
      <c r="D99" s="5">
        <f t="shared" si="5"/>
        <v>4.9923170189123144E-2</v>
      </c>
      <c r="F99">
        <v>0.40229802999999997</v>
      </c>
      <c r="G99">
        <v>0.38677330700000001</v>
      </c>
      <c r="H99" s="5">
        <f t="shared" si="6"/>
        <v>0.40724454626197065</v>
      </c>
      <c r="J99">
        <v>0.60614440000000003</v>
      </c>
      <c r="K99" s="14">
        <v>0.59591439000000002</v>
      </c>
      <c r="L99" s="5">
        <f t="shared" si="7"/>
        <v>8.6722123164846607E-2</v>
      </c>
      <c r="M99">
        <v>0.65250063000000003</v>
      </c>
    </row>
    <row r="100" spans="1:13" x14ac:dyDescent="0.3">
      <c r="A100" t="s">
        <v>20</v>
      </c>
      <c r="B100">
        <v>4.5160779999999998E-2</v>
      </c>
      <c r="C100">
        <v>1.3543589999999999E-2</v>
      </c>
      <c r="D100" s="5">
        <f t="shared" si="5"/>
        <v>0.56620950306679685</v>
      </c>
      <c r="F100">
        <v>1.6573379999999999E-2</v>
      </c>
      <c r="G100">
        <v>-9.3062709999999996E-3</v>
      </c>
      <c r="H100" s="5">
        <f t="shared" si="6"/>
        <v>1.298072514132889</v>
      </c>
      <c r="J100">
        <v>3.6753059999999997E-2</v>
      </c>
      <c r="K100" s="14">
        <v>1.140445E-2</v>
      </c>
      <c r="L100" s="5">
        <f t="shared" si="7"/>
        <v>0.6347244687154685</v>
      </c>
      <c r="M100">
        <v>3.1221499999999999E-2</v>
      </c>
    </row>
    <row r="101" spans="1:13" x14ac:dyDescent="0.3">
      <c r="A101" t="s">
        <v>22</v>
      </c>
      <c r="B101">
        <v>0.75617529000000006</v>
      </c>
      <c r="C101">
        <v>0.74752903000000004</v>
      </c>
      <c r="D101" s="5">
        <f t="shared" si="5"/>
        <v>4.7555727930302313E-2</v>
      </c>
      <c r="F101">
        <v>0.75604733000000002</v>
      </c>
      <c r="G101">
        <v>0.74917542800000003</v>
      </c>
      <c r="H101" s="5">
        <f t="shared" si="6"/>
        <v>4.5458013618595916E-2</v>
      </c>
      <c r="J101">
        <v>0.65544526999999997</v>
      </c>
      <c r="K101" s="14">
        <v>0.64573950000000002</v>
      </c>
      <c r="L101" s="5">
        <f t="shared" si="7"/>
        <v>0.17724815580185488</v>
      </c>
      <c r="M101">
        <v>0.78485329999999998</v>
      </c>
    </row>
    <row r="102" spans="1:13" x14ac:dyDescent="0.3">
      <c r="A102" t="s">
        <v>12</v>
      </c>
      <c r="B102">
        <v>0.67687470000000005</v>
      </c>
      <c r="C102">
        <v>0.66516726000000004</v>
      </c>
      <c r="D102" s="5">
        <f t="shared" si="5"/>
        <v>4.1550278169119187E-3</v>
      </c>
      <c r="F102">
        <v>0.49058201000000001</v>
      </c>
      <c r="G102">
        <v>0.47592249800000003</v>
      </c>
      <c r="H102" s="5">
        <f t="shared" si="6"/>
        <v>0.28747992379824017</v>
      </c>
      <c r="J102">
        <v>0.61314743000000005</v>
      </c>
      <c r="K102" s="14">
        <v>0.60201497999999998</v>
      </c>
      <c r="L102" s="5">
        <f t="shared" si="7"/>
        <v>9.8702496253495295E-2</v>
      </c>
      <c r="M102">
        <v>0.66794257999999995</v>
      </c>
    </row>
    <row r="103" spans="1:13" x14ac:dyDescent="0.3">
      <c r="A103" t="s">
        <v>24</v>
      </c>
      <c r="B103">
        <v>0.84104933999999998</v>
      </c>
      <c r="C103">
        <v>0.83524821999999999</v>
      </c>
      <c r="D103" s="5">
        <f t="shared" si="5"/>
        <v>7.2163667574133604E-3</v>
      </c>
      <c r="F103">
        <v>0.77791443999999998</v>
      </c>
      <c r="G103">
        <v>0.77147718099999996</v>
      </c>
      <c r="H103" s="5">
        <f t="shared" si="6"/>
        <v>8.3015203891211406E-2</v>
      </c>
      <c r="J103">
        <v>0.82795474000000002</v>
      </c>
      <c r="K103" s="14">
        <v>0.82296793000000001</v>
      </c>
      <c r="L103" s="5">
        <f t="shared" si="7"/>
        <v>2.1812831175466927E-2</v>
      </c>
      <c r="M103">
        <v>0.84131948999999995</v>
      </c>
    </row>
    <row r="104" spans="1:13" x14ac:dyDescent="0.3">
      <c r="A104" t="s">
        <v>21</v>
      </c>
      <c r="B104">
        <v>0.50662196999999998</v>
      </c>
      <c r="C104">
        <v>0.48807392999999999</v>
      </c>
      <c r="D104" s="5">
        <f t="shared" si="5"/>
        <v>2.8237548461799745E-2</v>
      </c>
      <c r="F104">
        <v>0.48707535000000002</v>
      </c>
      <c r="G104">
        <v>0.47176416100000002</v>
      </c>
      <c r="H104" s="5">
        <f t="shared" si="6"/>
        <v>6.0710541041964224E-2</v>
      </c>
      <c r="J104">
        <v>0.48558088999999999</v>
      </c>
      <c r="K104" s="14">
        <v>0.47022510000000001</v>
      </c>
      <c r="L104" s="5">
        <f t="shared" si="7"/>
        <v>6.3774834376432721E-2</v>
      </c>
      <c r="M104">
        <v>0.50225642000000004</v>
      </c>
    </row>
    <row r="105" spans="1:13" x14ac:dyDescent="0.3">
      <c r="A105" t="s">
        <v>23</v>
      </c>
      <c r="B105">
        <v>0.55475507999999996</v>
      </c>
      <c r="C105">
        <v>0.53694527999999997</v>
      </c>
      <c r="D105" s="5">
        <f t="shared" si="5"/>
        <v>0.12466270607633531</v>
      </c>
      <c r="F105">
        <v>0.47312726999999999</v>
      </c>
      <c r="G105">
        <v>0.456401153</v>
      </c>
      <c r="H105" s="5">
        <f t="shared" si="6"/>
        <v>0.25596710672145123</v>
      </c>
      <c r="J105">
        <v>0.52586873999999995</v>
      </c>
      <c r="K105" s="14">
        <v>0.51081695000000005</v>
      </c>
      <c r="L105" s="5">
        <f t="shared" si="7"/>
        <v>0.16725755238347564</v>
      </c>
      <c r="M105">
        <v>0.61341528999999995</v>
      </c>
    </row>
    <row r="106" spans="1:13" x14ac:dyDescent="0.3">
      <c r="A106" t="s">
        <v>33</v>
      </c>
      <c r="B106">
        <v>0.72759359999999995</v>
      </c>
      <c r="C106">
        <v>0.71595229999999999</v>
      </c>
      <c r="D106" s="5">
        <f t="shared" si="5"/>
        <v>4.7238037842394255E-3</v>
      </c>
      <c r="F106">
        <v>0.66280870999999997</v>
      </c>
      <c r="G106">
        <v>0.651378499</v>
      </c>
      <c r="H106" s="5">
        <f t="shared" si="6"/>
        <v>9.4490631873866998E-2</v>
      </c>
      <c r="J106">
        <v>0.72583293999999998</v>
      </c>
      <c r="K106" s="14">
        <v>0.71653913999999996</v>
      </c>
      <c r="L106" s="5">
        <f t="shared" si="7"/>
        <v>3.9080121693689449E-3</v>
      </c>
      <c r="M106">
        <v>0.71935037000000002</v>
      </c>
    </row>
    <row r="107" spans="1:13" x14ac:dyDescent="0.3">
      <c r="A107" t="s">
        <v>34</v>
      </c>
      <c r="B107">
        <v>0.76429400000000003</v>
      </c>
      <c r="C107">
        <v>0.75404590999999999</v>
      </c>
      <c r="D107" s="5">
        <f t="shared" si="5"/>
        <v>5.1456580257064587E-2</v>
      </c>
      <c r="F107">
        <v>0.45314787000000001</v>
      </c>
      <c r="G107">
        <v>0.43429089500000001</v>
      </c>
      <c r="H107" s="5">
        <f t="shared" si="6"/>
        <v>0.45368874064111014</v>
      </c>
      <c r="J107">
        <v>0.73521671</v>
      </c>
      <c r="K107" s="14">
        <v>0.72608625999999998</v>
      </c>
      <c r="L107" s="5">
        <f t="shared" si="7"/>
        <v>8.6628101876770155E-2</v>
      </c>
      <c r="M107">
        <v>0.79495139000000004</v>
      </c>
    </row>
    <row r="108" spans="1:13" x14ac:dyDescent="0.3">
      <c r="A108" t="s">
        <v>17</v>
      </c>
      <c r="B108">
        <v>0.37846881999999998</v>
      </c>
      <c r="C108">
        <v>0.35120868999999999</v>
      </c>
      <c r="D108" s="5">
        <f t="shared" si="5"/>
        <v>0</v>
      </c>
      <c r="F108">
        <v>0.33914179999999999</v>
      </c>
      <c r="G108">
        <v>0.31615543299999999</v>
      </c>
      <c r="H108" s="5">
        <f t="shared" si="6"/>
        <v>9.9807487679191551E-2</v>
      </c>
      <c r="J108">
        <v>0.36498530000000001</v>
      </c>
      <c r="K108" s="14">
        <v>0.34289783000000001</v>
      </c>
      <c r="L108" s="5">
        <f t="shared" si="7"/>
        <v>2.3663594428714095E-2</v>
      </c>
      <c r="M108">
        <v>0.35120868999999999</v>
      </c>
    </row>
    <row r="109" spans="1:13" x14ac:dyDescent="0.3">
      <c r="A109" t="s">
        <v>35</v>
      </c>
      <c r="B109">
        <v>0.38516524000000002</v>
      </c>
      <c r="C109">
        <v>0.35721820999999998</v>
      </c>
      <c r="D109" s="5">
        <f t="shared" si="5"/>
        <v>0.10827534214944123</v>
      </c>
      <c r="F109">
        <v>0.16925074000000001</v>
      </c>
      <c r="G109">
        <v>0.139313826</v>
      </c>
      <c r="H109" s="5">
        <f t="shared" si="6"/>
        <v>0.65223056847045324</v>
      </c>
      <c r="J109">
        <v>0.27820201999999999</v>
      </c>
      <c r="K109" s="14">
        <v>0.25219128000000002</v>
      </c>
      <c r="L109" s="5">
        <f t="shared" si="7"/>
        <v>0.37045431454657785</v>
      </c>
      <c r="M109">
        <v>0.40059250000000002</v>
      </c>
    </row>
    <row r="110" spans="1:13" x14ac:dyDescent="0.3">
      <c r="A110" t="s">
        <v>15</v>
      </c>
      <c r="B110">
        <v>0.70065111000000002</v>
      </c>
      <c r="C110">
        <v>0.68597715000000004</v>
      </c>
      <c r="D110" s="5">
        <f t="shared" si="5"/>
        <v>3.9700086831733735E-3</v>
      </c>
      <c r="F110">
        <v>0.49199195000000001</v>
      </c>
      <c r="G110">
        <v>0.47226348299999998</v>
      </c>
      <c r="H110" s="5">
        <f t="shared" si="6"/>
        <v>0.31427950206250416</v>
      </c>
      <c r="J110">
        <v>0.64989237</v>
      </c>
      <c r="K110" s="14">
        <v>0.63629595999999999</v>
      </c>
      <c r="L110" s="5">
        <f t="shared" si="7"/>
        <v>7.6106457024506108E-2</v>
      </c>
      <c r="M110">
        <v>0.68871134000000001</v>
      </c>
    </row>
    <row r="111" spans="1:13" x14ac:dyDescent="0.3">
      <c r="A111" t="s">
        <v>11</v>
      </c>
      <c r="B111">
        <v>0.69528800000000002</v>
      </c>
      <c r="C111">
        <v>0.67941757999999997</v>
      </c>
      <c r="D111" s="5">
        <f t="shared" si="5"/>
        <v>8.3383364367392326E-2</v>
      </c>
      <c r="F111">
        <v>0.52333797000000004</v>
      </c>
      <c r="G111">
        <v>0.50368180500000004</v>
      </c>
      <c r="H111" s="5">
        <f t="shared" si="6"/>
        <v>0.32047221750067284</v>
      </c>
      <c r="J111">
        <v>0.69458275000000003</v>
      </c>
      <c r="K111" s="14">
        <v>0.68198822999999997</v>
      </c>
      <c r="L111" s="5">
        <f t="shared" si="7"/>
        <v>7.991524604995201E-2</v>
      </c>
      <c r="M111">
        <v>0.74122326999999999</v>
      </c>
    </row>
    <row r="112" spans="1:13" x14ac:dyDescent="0.3">
      <c r="A112" t="s">
        <v>10</v>
      </c>
      <c r="B112">
        <v>0.70107527999999997</v>
      </c>
      <c r="C112">
        <v>0.68517501999999997</v>
      </c>
      <c r="D112" s="5">
        <f t="shared" si="5"/>
        <v>2.6780242844795028E-2</v>
      </c>
      <c r="F112">
        <v>0.49441109</v>
      </c>
      <c r="G112">
        <v>0.473123132</v>
      </c>
      <c r="H112" s="5">
        <f t="shared" si="6"/>
        <v>0.32797786523281308</v>
      </c>
      <c r="J112">
        <v>0.68751059000000003</v>
      </c>
      <c r="K112" s="14">
        <v>0.67435314000000002</v>
      </c>
      <c r="L112" s="5">
        <f t="shared" si="7"/>
        <v>4.2151596321112247E-2</v>
      </c>
      <c r="M112">
        <v>0.70402909000000002</v>
      </c>
    </row>
    <row r="114" spans="1:19" ht="75.599999999999994" customHeight="1" x14ac:dyDescent="0.3">
      <c r="A114" s="22" t="s">
        <v>90</v>
      </c>
      <c r="B114" s="22"/>
      <c r="C114" s="22"/>
      <c r="D114" s="12" t="s">
        <v>32</v>
      </c>
      <c r="E114" s="12" t="s">
        <v>28</v>
      </c>
      <c r="H114" s="23" t="s">
        <v>89</v>
      </c>
      <c r="I114" s="23"/>
      <c r="J114" s="23"/>
      <c r="K114" s="10" t="s">
        <v>32</v>
      </c>
      <c r="L114" s="10" t="s">
        <v>28</v>
      </c>
      <c r="N114" s="9"/>
      <c r="O114" s="21" t="s">
        <v>91</v>
      </c>
      <c r="P114" s="21"/>
      <c r="Q114" s="21"/>
      <c r="R114" s="20" t="s">
        <v>32</v>
      </c>
      <c r="S114" s="20" t="s">
        <v>28</v>
      </c>
    </row>
    <row r="115" spans="1:19" x14ac:dyDescent="0.3">
      <c r="B115" t="s">
        <v>7</v>
      </c>
      <c r="D115">
        <f>VLOOKUP($B115,$A$93:$K$112,10,FALSE)</f>
        <v>0.49517787000000002</v>
      </c>
      <c r="E115">
        <f>VLOOKUP($B115,$A$93:$K$112,11,FALSE)</f>
        <v>0.4832997</v>
      </c>
      <c r="I115" t="s">
        <v>16</v>
      </c>
      <c r="K115">
        <f>VLOOKUP($I115,$A$93:$K$112,2,FALSE)</f>
        <v>0.63195338999999995</v>
      </c>
      <c r="L115">
        <f>VLOOKUP($I115,$A$93:$K$112,3,FALSE)</f>
        <v>0.61992572999999995</v>
      </c>
      <c r="P115" s="8" t="s">
        <v>18</v>
      </c>
      <c r="R115" s="8">
        <f>VLOOKUP($P115,$A$93:$K$112,2,FALSE)</f>
        <v>0.14794077999999999</v>
      </c>
      <c r="S115" s="8">
        <f>VLOOKUP($P115,$A$93:$K$112,3,FALSE)</f>
        <v>0.12258187</v>
      </c>
    </row>
    <row r="116" spans="1:19" x14ac:dyDescent="0.3">
      <c r="B116" t="s">
        <v>14</v>
      </c>
      <c r="D116">
        <f t="shared" ref="D116:D120" si="8">VLOOKUP($B116,$A$93:$K$112,10,FALSE)</f>
        <v>0.63961999000000003</v>
      </c>
      <c r="E116">
        <f t="shared" ref="E116:E120" si="9">VLOOKUP($B116,$A$93:$K$112,11,FALSE)</f>
        <v>0.63037947999999999</v>
      </c>
      <c r="I116" t="s">
        <v>22</v>
      </c>
      <c r="K116">
        <f t="shared" ref="K116:K120" si="10">VLOOKUP($I116,$A$93:$K$112,2,FALSE)</f>
        <v>0.75617529000000006</v>
      </c>
      <c r="L116">
        <f t="shared" ref="L116:L120" si="11">VLOOKUP($I116,$A$93:$K$112,3,FALSE)</f>
        <v>0.74752903000000004</v>
      </c>
      <c r="P116" t="s">
        <v>8</v>
      </c>
      <c r="R116">
        <f t="shared" ref="R116:R122" si="12">VLOOKUP($P116,$A$93:$K$112,2,FALSE)</f>
        <v>0.30121018999999999</v>
      </c>
      <c r="S116">
        <f t="shared" ref="S116:S122" si="13">VLOOKUP($P116,$A$93:$K$112,3,FALSE)</f>
        <v>0.27990563000000002</v>
      </c>
    </row>
    <row r="117" spans="1:19" x14ac:dyDescent="0.3">
      <c r="B117" t="s">
        <v>24</v>
      </c>
      <c r="D117">
        <f t="shared" si="8"/>
        <v>0.82795474000000002</v>
      </c>
      <c r="E117">
        <f t="shared" si="9"/>
        <v>0.82296793000000001</v>
      </c>
      <c r="I117" t="s">
        <v>12</v>
      </c>
      <c r="K117">
        <f t="shared" si="10"/>
        <v>0.67687470000000005</v>
      </c>
      <c r="L117">
        <f t="shared" si="11"/>
        <v>0.66516726000000004</v>
      </c>
      <c r="P117" s="8" t="s">
        <v>19</v>
      </c>
      <c r="Q117" s="8"/>
      <c r="R117" s="8">
        <f t="shared" si="12"/>
        <v>0.10137027</v>
      </c>
      <c r="S117" s="8">
        <f t="shared" si="13"/>
        <v>7.2382210000000002E-2</v>
      </c>
    </row>
    <row r="118" spans="1:19" x14ac:dyDescent="0.3">
      <c r="B118" t="s">
        <v>33</v>
      </c>
      <c r="D118">
        <f t="shared" si="8"/>
        <v>0.72583293999999998</v>
      </c>
      <c r="E118">
        <f t="shared" si="9"/>
        <v>0.71653913999999996</v>
      </c>
      <c r="I118" t="s">
        <v>21</v>
      </c>
      <c r="K118">
        <f t="shared" si="10"/>
        <v>0.50662196999999998</v>
      </c>
      <c r="L118">
        <f t="shared" si="11"/>
        <v>0.48807392999999999</v>
      </c>
      <c r="P118" s="8" t="s">
        <v>20</v>
      </c>
      <c r="Q118" s="8"/>
      <c r="R118" s="8">
        <f t="shared" si="12"/>
        <v>4.5160779999999998E-2</v>
      </c>
      <c r="S118" s="8">
        <f t="shared" si="13"/>
        <v>1.3543589999999999E-2</v>
      </c>
    </row>
    <row r="119" spans="1:19" x14ac:dyDescent="0.3">
      <c r="B119" t="s">
        <v>17</v>
      </c>
      <c r="D119">
        <f t="shared" si="8"/>
        <v>0.36498530000000001</v>
      </c>
      <c r="E119">
        <f t="shared" si="9"/>
        <v>0.34289783000000001</v>
      </c>
      <c r="I119" t="s">
        <v>34</v>
      </c>
      <c r="K119">
        <f t="shared" si="10"/>
        <v>0.76429400000000003</v>
      </c>
      <c r="L119">
        <f t="shared" si="11"/>
        <v>0.75404590999999999</v>
      </c>
      <c r="P119" t="s">
        <v>23</v>
      </c>
      <c r="R119">
        <f t="shared" si="12"/>
        <v>0.55475507999999996</v>
      </c>
      <c r="S119">
        <f t="shared" si="13"/>
        <v>0.53694527999999997</v>
      </c>
    </row>
    <row r="120" spans="1:19" x14ac:dyDescent="0.3">
      <c r="B120" t="s">
        <v>10</v>
      </c>
      <c r="D120">
        <f t="shared" si="8"/>
        <v>0.68751059000000003</v>
      </c>
      <c r="E120">
        <f t="shared" si="9"/>
        <v>0.67435314000000002</v>
      </c>
      <c r="I120" t="s">
        <v>15</v>
      </c>
      <c r="K120">
        <f t="shared" si="10"/>
        <v>0.70065111000000002</v>
      </c>
      <c r="L120">
        <f t="shared" si="11"/>
        <v>0.68597715000000004</v>
      </c>
      <c r="P120" t="s">
        <v>35</v>
      </c>
      <c r="R120">
        <f t="shared" si="12"/>
        <v>0.38516524000000002</v>
      </c>
      <c r="S120">
        <f t="shared" si="13"/>
        <v>0.35721820999999998</v>
      </c>
    </row>
    <row r="121" spans="1:19" x14ac:dyDescent="0.3">
      <c r="P121" t="s">
        <v>11</v>
      </c>
      <c r="R121">
        <f t="shared" si="12"/>
        <v>0.69528800000000002</v>
      </c>
      <c r="S121">
        <f t="shared" si="13"/>
        <v>0.67941757999999997</v>
      </c>
    </row>
    <row r="122" spans="1:19" x14ac:dyDescent="0.3">
      <c r="P122" s="8" t="s">
        <v>9</v>
      </c>
      <c r="Q122" s="8"/>
      <c r="R122" s="8">
        <f t="shared" si="12"/>
        <v>0.158413</v>
      </c>
      <c r="S122" s="8">
        <f t="shared" si="13"/>
        <v>0.13243809000000001</v>
      </c>
    </row>
  </sheetData>
  <autoFilter ref="A20:M40"/>
  <mergeCells count="9">
    <mergeCell ref="O114:Q114"/>
    <mergeCell ref="A114:C114"/>
    <mergeCell ref="H114:J114"/>
    <mergeCell ref="A19:K19"/>
    <mergeCell ref="A43:K43"/>
    <mergeCell ref="A67:K67"/>
    <mergeCell ref="A91:D91"/>
    <mergeCell ref="E91:H91"/>
    <mergeCell ref="I91:L9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69"/>
  <sheetViews>
    <sheetView workbookViewId="0">
      <selection activeCell="D13" sqref="D13"/>
    </sheetView>
  </sheetViews>
  <sheetFormatPr defaultRowHeight="14.4" x14ac:dyDescent="0.3"/>
  <cols>
    <col min="6" max="6" width="11.6640625" bestFit="1" customWidth="1"/>
    <col min="8" max="8" width="12.33203125" customWidth="1"/>
    <col min="14" max="14" width="11.6640625" bestFit="1" customWidth="1"/>
    <col min="15" max="15" width="13" customWidth="1"/>
    <col min="17" max="17" width="11.6640625" bestFit="1" customWidth="1"/>
  </cols>
  <sheetData>
    <row r="3" spans="2:17" x14ac:dyDescent="0.3">
      <c r="B3" t="s">
        <v>25</v>
      </c>
      <c r="K3" t="s">
        <v>26</v>
      </c>
    </row>
    <row r="5" spans="2:17" x14ac:dyDescent="0.3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K5" s="2" t="s">
        <v>0</v>
      </c>
      <c r="L5" s="2" t="s">
        <v>1</v>
      </c>
      <c r="M5" s="2" t="s">
        <v>2</v>
      </c>
      <c r="N5" s="2" t="s">
        <v>3</v>
      </c>
      <c r="O5" s="2" t="s">
        <v>4</v>
      </c>
      <c r="P5" s="2" t="s">
        <v>5</v>
      </c>
      <c r="Q5" s="2" t="s">
        <v>6</v>
      </c>
    </row>
    <row r="6" spans="2:17" x14ac:dyDescent="0.3">
      <c r="B6" t="s">
        <v>7</v>
      </c>
      <c r="C6">
        <v>226</v>
      </c>
      <c r="D6">
        <v>0.75361710000000004</v>
      </c>
      <c r="E6">
        <v>-0.37124443000000001</v>
      </c>
      <c r="F6">
        <v>0.28524235999999997</v>
      </c>
      <c r="G6">
        <v>-0.40185331000000002</v>
      </c>
      <c r="H6">
        <v>-0.37248100000000001</v>
      </c>
      <c r="K6" t="s">
        <v>7</v>
      </c>
      <c r="L6">
        <v>226</v>
      </c>
      <c r="M6">
        <v>0.78270130000000004</v>
      </c>
      <c r="N6">
        <v>-0.40136054999999998</v>
      </c>
      <c r="O6">
        <v>0.33770933199999997</v>
      </c>
      <c r="P6">
        <v>-0.53365130000000005</v>
      </c>
      <c r="Q6">
        <v>-0.47243640999999997</v>
      </c>
    </row>
    <row r="7" spans="2:17" x14ac:dyDescent="0.3">
      <c r="B7" t="s">
        <v>8</v>
      </c>
      <c r="C7">
        <v>223</v>
      </c>
      <c r="D7">
        <v>0.88752180000000003</v>
      </c>
      <c r="E7">
        <v>5.3839730000000002E-2</v>
      </c>
      <c r="F7">
        <v>-0.13414381</v>
      </c>
      <c r="G7">
        <v>-0.37695567000000002</v>
      </c>
      <c r="H7">
        <v>-0.48995991999999999</v>
      </c>
      <c r="K7" t="s">
        <v>8</v>
      </c>
      <c r="L7">
        <v>223</v>
      </c>
      <c r="M7">
        <v>0.88737960000000005</v>
      </c>
      <c r="N7">
        <v>7.9733330000000005E-2</v>
      </c>
      <c r="O7">
        <v>-0.14449867199999999</v>
      </c>
      <c r="P7">
        <v>-0.39215503000000002</v>
      </c>
      <c r="Q7">
        <v>-0.50823021000000002</v>
      </c>
    </row>
    <row r="8" spans="2:17" x14ac:dyDescent="0.3">
      <c r="B8" t="s">
        <v>9</v>
      </c>
      <c r="C8">
        <v>222</v>
      </c>
      <c r="D8">
        <v>0.90926130000000005</v>
      </c>
      <c r="E8">
        <v>2.6499680000000001E-2</v>
      </c>
      <c r="F8">
        <v>-6.2687229999999997E-2</v>
      </c>
      <c r="G8">
        <v>-0.15265393999999999</v>
      </c>
      <c r="H8">
        <v>-0.25915125</v>
      </c>
      <c r="K8" t="s">
        <v>9</v>
      </c>
      <c r="L8">
        <v>222</v>
      </c>
      <c r="M8">
        <v>0.87773009999999996</v>
      </c>
      <c r="N8">
        <v>1.714854E-2</v>
      </c>
      <c r="O8">
        <v>-4.5459843E-2</v>
      </c>
      <c r="P8">
        <v>-0.32234309</v>
      </c>
      <c r="Q8">
        <v>-0.37681471999999999</v>
      </c>
    </row>
    <row r="9" spans="2:17" x14ac:dyDescent="0.3">
      <c r="B9" t="s">
        <v>10</v>
      </c>
      <c r="C9">
        <v>170</v>
      </c>
      <c r="D9">
        <v>0.5478674</v>
      </c>
      <c r="E9">
        <v>-0.26932464</v>
      </c>
      <c r="F9">
        <v>0.38907979999999998</v>
      </c>
      <c r="G9">
        <v>-0.26032201999999999</v>
      </c>
      <c r="H9">
        <v>-0.2783349</v>
      </c>
      <c r="K9" t="s">
        <v>10</v>
      </c>
      <c r="L9">
        <v>170</v>
      </c>
      <c r="M9">
        <v>0.64664109999999997</v>
      </c>
      <c r="N9">
        <v>-0.35172044000000002</v>
      </c>
      <c r="O9">
        <v>0.323495017</v>
      </c>
      <c r="P9">
        <v>-0.35927042999999997</v>
      </c>
      <c r="Q9">
        <v>-0.33668136999999998</v>
      </c>
    </row>
    <row r="10" spans="2:17" x14ac:dyDescent="0.3">
      <c r="B10" t="s">
        <v>11</v>
      </c>
      <c r="C10">
        <v>174</v>
      </c>
      <c r="D10">
        <v>0.62424900000000005</v>
      </c>
      <c r="E10">
        <v>-0.22242961999999999</v>
      </c>
      <c r="F10">
        <v>0.34426151999999999</v>
      </c>
      <c r="G10">
        <v>-0.15544838999999999</v>
      </c>
      <c r="H10">
        <v>-0.21051545999999999</v>
      </c>
      <c r="K10" t="s">
        <v>11</v>
      </c>
      <c r="L10">
        <v>174</v>
      </c>
      <c r="M10">
        <v>0.67736589999999997</v>
      </c>
      <c r="N10">
        <v>-0.28706584000000002</v>
      </c>
      <c r="O10">
        <v>0.29218398800000001</v>
      </c>
      <c r="P10">
        <v>-0.23171316</v>
      </c>
      <c r="Q10">
        <v>-0.24931859000000001</v>
      </c>
    </row>
    <row r="11" spans="2:17" x14ac:dyDescent="0.3">
      <c r="B11" t="s">
        <v>12</v>
      </c>
      <c r="C11">
        <v>183</v>
      </c>
      <c r="D11">
        <v>0.78879299999999997</v>
      </c>
      <c r="E11">
        <v>-0.17529828</v>
      </c>
      <c r="F11">
        <v>0.12006976</v>
      </c>
      <c r="G11">
        <v>-0.36115849</v>
      </c>
      <c r="H11">
        <v>-0.41347715000000002</v>
      </c>
      <c r="K11" t="s">
        <v>12</v>
      </c>
      <c r="L11">
        <v>183</v>
      </c>
      <c r="M11">
        <v>0.77507859999999995</v>
      </c>
      <c r="N11">
        <v>-0.20348666000000001</v>
      </c>
      <c r="O11">
        <v>0.12159708399999999</v>
      </c>
      <c r="P11">
        <v>-0.45308876999999997</v>
      </c>
      <c r="Q11">
        <v>-0.51292455000000003</v>
      </c>
    </row>
    <row r="12" spans="2:17" x14ac:dyDescent="0.3">
      <c r="B12" t="s">
        <v>13</v>
      </c>
      <c r="C12">
        <v>167</v>
      </c>
      <c r="D12">
        <v>0.48799999999999999</v>
      </c>
      <c r="E12">
        <v>-0.14450872000000001</v>
      </c>
      <c r="F12">
        <v>0.1490525</v>
      </c>
      <c r="G12">
        <v>-9.4054330000000005E-2</v>
      </c>
      <c r="H12">
        <v>-8.8711300000000007E-2</v>
      </c>
      <c r="K12" t="s">
        <v>13</v>
      </c>
      <c r="L12">
        <v>167</v>
      </c>
      <c r="M12">
        <v>0.58009840000000001</v>
      </c>
      <c r="N12">
        <v>-0.25457311999999999</v>
      </c>
      <c r="O12">
        <v>0.26207317000000002</v>
      </c>
      <c r="P12">
        <v>-0.15329034</v>
      </c>
      <c r="Q12">
        <v>-8.3918720000000002E-2</v>
      </c>
    </row>
    <row r="13" spans="2:17" x14ac:dyDescent="0.3">
      <c r="B13" t="s">
        <v>14</v>
      </c>
      <c r="C13">
        <v>212</v>
      </c>
      <c r="D13">
        <v>0.75370950000000003</v>
      </c>
      <c r="E13">
        <v>-0.42257011999999999</v>
      </c>
      <c r="F13">
        <v>0.53842962000000005</v>
      </c>
      <c r="G13">
        <v>-0.30188841999999999</v>
      </c>
      <c r="H13">
        <v>-0.23256853999999999</v>
      </c>
      <c r="K13" t="s">
        <v>14</v>
      </c>
      <c r="L13">
        <v>212</v>
      </c>
      <c r="M13">
        <v>0.73664030000000003</v>
      </c>
      <c r="N13">
        <v>-0.5291612</v>
      </c>
      <c r="O13">
        <v>0.56959480100000004</v>
      </c>
      <c r="P13">
        <v>-0.48894180999999998</v>
      </c>
      <c r="Q13">
        <v>-0.36217484999999999</v>
      </c>
    </row>
    <row r="14" spans="2:17" x14ac:dyDescent="0.3">
      <c r="B14" t="s">
        <v>15</v>
      </c>
      <c r="C14">
        <v>140</v>
      </c>
      <c r="D14">
        <v>0.61670840000000005</v>
      </c>
      <c r="E14">
        <v>-0.37549143000000001</v>
      </c>
      <c r="F14">
        <v>0.32355692000000003</v>
      </c>
      <c r="G14">
        <v>-0.39484107000000002</v>
      </c>
      <c r="H14">
        <v>-0.30006970999999999</v>
      </c>
      <c r="K14" t="s">
        <v>15</v>
      </c>
      <c r="L14">
        <v>140</v>
      </c>
      <c r="M14">
        <v>0.67325570000000001</v>
      </c>
      <c r="N14">
        <v>-0.42393498000000002</v>
      </c>
      <c r="O14">
        <v>0.35666848200000001</v>
      </c>
      <c r="P14">
        <v>-0.49420557999999998</v>
      </c>
      <c r="Q14">
        <v>-0.38099820000000001</v>
      </c>
    </row>
    <row r="15" spans="2:17" x14ac:dyDescent="0.3">
      <c r="B15" t="s">
        <v>16</v>
      </c>
      <c r="C15">
        <v>186</v>
      </c>
      <c r="D15">
        <v>0.87694039999999995</v>
      </c>
      <c r="E15">
        <v>-6.0929669999999998E-2</v>
      </c>
      <c r="F15">
        <v>0.15814587999999999</v>
      </c>
      <c r="G15">
        <v>-0.10043364</v>
      </c>
      <c r="H15">
        <v>-0.18243989999999999</v>
      </c>
      <c r="K15" t="s">
        <v>16</v>
      </c>
      <c r="L15">
        <v>186</v>
      </c>
      <c r="M15">
        <v>0.87804499999999996</v>
      </c>
      <c r="N15">
        <v>-9.9133170000000007E-2</v>
      </c>
      <c r="O15">
        <v>0.14118531200000001</v>
      </c>
      <c r="P15">
        <v>-0.29193498000000001</v>
      </c>
      <c r="Q15">
        <v>-0.36732778999999999</v>
      </c>
    </row>
    <row r="16" spans="2:17" x14ac:dyDescent="0.3">
      <c r="B16" t="s">
        <v>17</v>
      </c>
      <c r="C16">
        <v>190</v>
      </c>
      <c r="D16">
        <v>0.72080460000000002</v>
      </c>
      <c r="E16">
        <v>-0.25083659000000003</v>
      </c>
      <c r="F16">
        <v>0.23433200000000001</v>
      </c>
      <c r="G16">
        <v>-0.40240782000000003</v>
      </c>
      <c r="H16">
        <v>-0.41925086</v>
      </c>
      <c r="K16" t="s">
        <v>17</v>
      </c>
      <c r="L16">
        <v>190</v>
      </c>
      <c r="M16">
        <v>0.69482949999999999</v>
      </c>
      <c r="N16">
        <v>-0.25854199999999999</v>
      </c>
      <c r="O16">
        <v>0.19764465000000001</v>
      </c>
      <c r="P16">
        <v>-0.40663609000000001</v>
      </c>
      <c r="Q16">
        <v>-0.47324117999999998</v>
      </c>
    </row>
    <row r="17" spans="2:17" x14ac:dyDescent="0.3">
      <c r="B17" t="s">
        <v>18</v>
      </c>
      <c r="C17">
        <v>223</v>
      </c>
      <c r="D17">
        <v>0.90011669999999999</v>
      </c>
      <c r="E17">
        <v>-8.1727019999999997E-2</v>
      </c>
      <c r="F17">
        <v>0.16925388999999999</v>
      </c>
      <c r="G17">
        <v>-3.9900930000000001E-2</v>
      </c>
      <c r="H17">
        <v>-7.9905180000000006E-2</v>
      </c>
      <c r="K17" t="s">
        <v>18</v>
      </c>
      <c r="L17">
        <v>223</v>
      </c>
      <c r="M17">
        <v>0.89266129999999999</v>
      </c>
      <c r="N17">
        <v>-0.13425474000000001</v>
      </c>
      <c r="O17">
        <v>0.17158230799999999</v>
      </c>
      <c r="P17">
        <v>-0.10745502</v>
      </c>
      <c r="Q17">
        <v>-0.15732165000000001</v>
      </c>
    </row>
    <row r="18" spans="2:17" x14ac:dyDescent="0.3">
      <c r="B18" t="s">
        <v>19</v>
      </c>
      <c r="C18">
        <v>216</v>
      </c>
      <c r="D18">
        <v>0.79890490000000003</v>
      </c>
      <c r="E18">
        <v>-0.21420021</v>
      </c>
      <c r="F18">
        <v>0.23630831999999999</v>
      </c>
      <c r="G18">
        <v>-0.23371021</v>
      </c>
      <c r="H18">
        <v>-0.19210363</v>
      </c>
      <c r="K18" t="s">
        <v>19</v>
      </c>
      <c r="L18">
        <v>216</v>
      </c>
      <c r="M18">
        <v>0.65259049999999996</v>
      </c>
      <c r="N18">
        <v>-0.42239427000000002</v>
      </c>
      <c r="O18">
        <v>0.36929478999999998</v>
      </c>
      <c r="P18">
        <v>-0.39460817999999998</v>
      </c>
      <c r="Q18">
        <v>-0.31505564000000003</v>
      </c>
    </row>
    <row r="19" spans="2:17" x14ac:dyDescent="0.3">
      <c r="B19" t="s">
        <v>20</v>
      </c>
      <c r="C19">
        <v>212</v>
      </c>
      <c r="D19">
        <v>0.89663470000000001</v>
      </c>
      <c r="E19">
        <v>5.8111459999999997E-2</v>
      </c>
      <c r="F19">
        <v>-6.1779899999999999E-2</v>
      </c>
      <c r="G19">
        <v>-7.3568270000000005E-2</v>
      </c>
      <c r="H19">
        <v>-0.13036553000000001</v>
      </c>
      <c r="K19" t="s">
        <v>20</v>
      </c>
      <c r="L19">
        <v>212</v>
      </c>
      <c r="M19">
        <v>0.87579649999999998</v>
      </c>
      <c r="N19">
        <v>7.8674910000000001E-2</v>
      </c>
      <c r="O19">
        <v>-6.5364684000000006E-2</v>
      </c>
      <c r="P19">
        <v>-3.7917729999999997E-2</v>
      </c>
      <c r="Q19">
        <v>-0.13821195</v>
      </c>
    </row>
    <row r="20" spans="2:17" x14ac:dyDescent="0.3">
      <c r="B20" t="s">
        <v>21</v>
      </c>
      <c r="C20">
        <v>206</v>
      </c>
      <c r="D20">
        <v>0.75466690000000003</v>
      </c>
      <c r="E20">
        <v>-0.35274534000000002</v>
      </c>
      <c r="F20">
        <v>0.53041033999999998</v>
      </c>
      <c r="G20">
        <v>-0.31528645999999999</v>
      </c>
      <c r="H20">
        <v>-0.27619366000000001</v>
      </c>
      <c r="K20" t="s">
        <v>21</v>
      </c>
      <c r="L20">
        <v>206</v>
      </c>
      <c r="M20">
        <v>0.76681560000000004</v>
      </c>
      <c r="N20">
        <v>-0.43592553000000001</v>
      </c>
      <c r="O20">
        <v>0.54292675300000004</v>
      </c>
      <c r="P20">
        <v>-0.28713888999999998</v>
      </c>
      <c r="Q20">
        <v>-0.23370294</v>
      </c>
    </row>
    <row r="21" spans="2:17" x14ac:dyDescent="0.3">
      <c r="B21" t="s">
        <v>22</v>
      </c>
      <c r="C21">
        <v>195</v>
      </c>
      <c r="D21">
        <v>0.6960248</v>
      </c>
      <c r="E21">
        <v>-0.52587298999999998</v>
      </c>
      <c r="F21">
        <v>0.79220288999999999</v>
      </c>
      <c r="G21">
        <v>-0.36870971000000002</v>
      </c>
      <c r="H21">
        <v>-0.34895130000000002</v>
      </c>
      <c r="K21" t="s">
        <v>22</v>
      </c>
      <c r="L21">
        <v>195</v>
      </c>
      <c r="M21">
        <v>0.76007610000000003</v>
      </c>
      <c r="N21">
        <v>-0.60069746999999996</v>
      </c>
      <c r="O21">
        <v>0.784614582</v>
      </c>
      <c r="P21">
        <v>-0.43732311000000001</v>
      </c>
      <c r="Q21">
        <v>-0.37821832999999999</v>
      </c>
    </row>
    <row r="22" spans="2:17" x14ac:dyDescent="0.3">
      <c r="B22" t="s">
        <v>23</v>
      </c>
      <c r="C22">
        <v>194</v>
      </c>
      <c r="D22">
        <v>0.7295045</v>
      </c>
      <c r="E22">
        <v>-6.0112190000000003E-2</v>
      </c>
      <c r="F22">
        <v>7.1796150000000003E-2</v>
      </c>
      <c r="G22">
        <v>-0.46919425999999997</v>
      </c>
      <c r="H22">
        <v>-0.63955494999999996</v>
      </c>
      <c r="K22" t="s">
        <v>23</v>
      </c>
      <c r="L22">
        <v>194</v>
      </c>
      <c r="M22">
        <v>0.70685220000000004</v>
      </c>
      <c r="N22">
        <v>-4.5175649999999998E-2</v>
      </c>
      <c r="O22">
        <v>-5.7645140000000001E-3</v>
      </c>
      <c r="P22">
        <v>-0.39354575000000003</v>
      </c>
      <c r="Q22">
        <v>-0.53347107000000005</v>
      </c>
    </row>
    <row r="23" spans="2:17" x14ac:dyDescent="0.3">
      <c r="B23" t="s">
        <v>24</v>
      </c>
      <c r="C23">
        <v>192</v>
      </c>
      <c r="D23">
        <v>0.72184879999999996</v>
      </c>
      <c r="E23">
        <v>-0.40485336</v>
      </c>
      <c r="F23">
        <v>0.57729041999999997</v>
      </c>
      <c r="G23">
        <v>-0.31493557</v>
      </c>
      <c r="H23">
        <v>-0.34437054</v>
      </c>
      <c r="K23" t="s">
        <v>24</v>
      </c>
      <c r="L23">
        <v>192</v>
      </c>
      <c r="M23">
        <v>0.74977419999999995</v>
      </c>
      <c r="N23">
        <v>-0.49815609</v>
      </c>
      <c r="O23">
        <v>0.54912148599999999</v>
      </c>
      <c r="P23">
        <v>-0.43747960000000002</v>
      </c>
      <c r="Q23">
        <v>-0.42879959000000001</v>
      </c>
    </row>
    <row r="26" spans="2:17" x14ac:dyDescent="0.3">
      <c r="B26" s="1" t="s">
        <v>27</v>
      </c>
    </row>
    <row r="28" spans="2:17" x14ac:dyDescent="0.3">
      <c r="B28" s="2" t="s">
        <v>0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28</v>
      </c>
    </row>
    <row r="29" spans="2:17" x14ac:dyDescent="0.3">
      <c r="B29" t="s">
        <v>7</v>
      </c>
      <c r="C29" s="3" t="s">
        <v>29</v>
      </c>
      <c r="D29" s="3" t="s">
        <v>29</v>
      </c>
      <c r="E29" s="3" t="s">
        <v>29</v>
      </c>
      <c r="F29" s="3" t="s">
        <v>29</v>
      </c>
      <c r="G29" s="3"/>
      <c r="H29">
        <v>0.7132385</v>
      </c>
    </row>
    <row r="30" spans="2:17" x14ac:dyDescent="0.3">
      <c r="B30" t="s">
        <v>8</v>
      </c>
      <c r="C30" s="3" t="s">
        <v>29</v>
      </c>
      <c r="D30" s="3"/>
      <c r="E30" s="3" t="s">
        <v>29</v>
      </c>
      <c r="F30" s="3" t="s">
        <v>29</v>
      </c>
      <c r="G30" s="3" t="s">
        <v>29</v>
      </c>
      <c r="H30">
        <v>0.85642110000000005</v>
      </c>
    </row>
    <row r="31" spans="2:17" x14ac:dyDescent="0.3">
      <c r="B31" t="s">
        <v>9</v>
      </c>
      <c r="C31" s="3" t="s">
        <v>29</v>
      </c>
      <c r="D31" s="3"/>
      <c r="E31" s="3" t="s">
        <v>29</v>
      </c>
      <c r="F31" s="3" t="s">
        <v>29</v>
      </c>
      <c r="G31" s="3" t="s">
        <v>29</v>
      </c>
      <c r="H31">
        <v>0.86945039999999996</v>
      </c>
    </row>
    <row r="32" spans="2:17" x14ac:dyDescent="0.3">
      <c r="B32" t="s">
        <v>10</v>
      </c>
      <c r="C32" s="3" t="s">
        <v>29</v>
      </c>
      <c r="D32" s="3" t="s">
        <v>29</v>
      </c>
      <c r="E32" s="3" t="s">
        <v>29</v>
      </c>
      <c r="F32" s="3"/>
      <c r="G32" s="3" t="s">
        <v>29</v>
      </c>
      <c r="H32">
        <v>0.54075569999999995</v>
      </c>
    </row>
    <row r="33" spans="2:8" x14ac:dyDescent="0.3">
      <c r="B33" t="s">
        <v>11</v>
      </c>
      <c r="C33" s="3" t="s">
        <v>29</v>
      </c>
      <c r="D33" s="3" t="s">
        <v>29</v>
      </c>
      <c r="E33" s="3" t="s">
        <v>29</v>
      </c>
      <c r="F33" s="3"/>
      <c r="G33" s="3" t="s">
        <v>29</v>
      </c>
      <c r="H33">
        <v>0.64332049999999996</v>
      </c>
    </row>
    <row r="34" spans="2:8" x14ac:dyDescent="0.3">
      <c r="B34" t="s">
        <v>12</v>
      </c>
      <c r="C34" s="3" t="s">
        <v>29</v>
      </c>
      <c r="D34" s="3" t="s">
        <v>29</v>
      </c>
      <c r="E34" s="3" t="s">
        <v>29</v>
      </c>
      <c r="F34" s="3" t="s">
        <v>29</v>
      </c>
      <c r="G34" s="3"/>
      <c r="H34">
        <v>0.80158039999999997</v>
      </c>
    </row>
    <row r="35" spans="2:8" x14ac:dyDescent="0.3">
      <c r="B35" t="s">
        <v>13</v>
      </c>
      <c r="C35" s="3" t="s">
        <v>29</v>
      </c>
      <c r="D35" s="3" t="s">
        <v>29</v>
      </c>
      <c r="E35" s="3" t="s">
        <v>29</v>
      </c>
      <c r="F35" s="3" t="s">
        <v>29</v>
      </c>
      <c r="G35" s="3"/>
      <c r="H35">
        <v>0.24395259999999999</v>
      </c>
    </row>
    <row r="36" spans="2:8" x14ac:dyDescent="0.3">
      <c r="B36" t="s">
        <v>14</v>
      </c>
      <c r="C36" s="3" t="s">
        <v>29</v>
      </c>
      <c r="D36" s="3" t="s">
        <v>29</v>
      </c>
      <c r="E36" s="3" t="s">
        <v>29</v>
      </c>
      <c r="F36" s="3" t="s">
        <v>29</v>
      </c>
      <c r="G36" s="3"/>
      <c r="H36">
        <v>0.80277149999999997</v>
      </c>
    </row>
    <row r="37" spans="2:8" x14ac:dyDescent="0.3">
      <c r="B37" t="s">
        <v>15</v>
      </c>
      <c r="C37" s="3" t="s">
        <v>29</v>
      </c>
      <c r="D37" s="3" t="s">
        <v>29</v>
      </c>
      <c r="E37" s="3" t="s">
        <v>29</v>
      </c>
      <c r="F37" s="3" t="s">
        <v>29</v>
      </c>
      <c r="G37" s="3"/>
      <c r="H37">
        <v>0.56609039999999999</v>
      </c>
    </row>
    <row r="38" spans="2:8" x14ac:dyDescent="0.3">
      <c r="B38" t="s">
        <v>16</v>
      </c>
      <c r="C38" s="3" t="s">
        <v>29</v>
      </c>
      <c r="D38" s="3" t="s">
        <v>29</v>
      </c>
      <c r="E38" s="3" t="s">
        <v>29</v>
      </c>
      <c r="F38" s="3"/>
      <c r="G38" s="3" t="s">
        <v>29</v>
      </c>
      <c r="H38">
        <v>0.91795749999999998</v>
      </c>
    </row>
    <row r="39" spans="2:8" x14ac:dyDescent="0.3">
      <c r="B39" t="s">
        <v>17</v>
      </c>
      <c r="C39" s="3" t="s">
        <v>29</v>
      </c>
      <c r="D39" s="3" t="s">
        <v>29</v>
      </c>
      <c r="E39" s="3" t="s">
        <v>29</v>
      </c>
      <c r="F39" s="3" t="s">
        <v>29</v>
      </c>
      <c r="G39" s="3"/>
      <c r="H39">
        <v>0.66341170000000005</v>
      </c>
    </row>
    <row r="40" spans="2:8" x14ac:dyDescent="0.3">
      <c r="B40" t="s">
        <v>18</v>
      </c>
      <c r="C40" s="3" t="s">
        <v>29</v>
      </c>
      <c r="D40" s="3" t="s">
        <v>29</v>
      </c>
      <c r="E40" s="3" t="s">
        <v>29</v>
      </c>
      <c r="F40" s="3"/>
      <c r="G40" s="3" t="s">
        <v>29</v>
      </c>
      <c r="H40">
        <v>0.84420099999999998</v>
      </c>
    </row>
    <row r="41" spans="2:8" x14ac:dyDescent="0.3">
      <c r="B41" t="s">
        <v>19</v>
      </c>
      <c r="C41" s="3" t="s">
        <v>29</v>
      </c>
      <c r="D41" s="3"/>
      <c r="E41" s="3" t="s">
        <v>29</v>
      </c>
      <c r="F41" s="3" t="s">
        <v>29</v>
      </c>
      <c r="G41" s="3" t="s">
        <v>29</v>
      </c>
      <c r="H41">
        <v>0.68194880000000002</v>
      </c>
    </row>
    <row r="42" spans="2:8" x14ac:dyDescent="0.3">
      <c r="B42" t="s">
        <v>20</v>
      </c>
      <c r="C42" s="3" t="s">
        <v>29</v>
      </c>
      <c r="D42" s="3"/>
      <c r="E42" s="3" t="s">
        <v>29</v>
      </c>
      <c r="F42" s="3" t="s">
        <v>29</v>
      </c>
      <c r="G42" s="3" t="s">
        <v>29</v>
      </c>
      <c r="H42">
        <v>0.80817799999999995</v>
      </c>
    </row>
    <row r="43" spans="2:8" x14ac:dyDescent="0.3">
      <c r="B43" t="s">
        <v>21</v>
      </c>
      <c r="C43" s="3" t="s">
        <v>29</v>
      </c>
      <c r="D43" s="3" t="s">
        <v>29</v>
      </c>
      <c r="E43" s="3" t="s">
        <v>29</v>
      </c>
      <c r="F43" s="3" t="s">
        <v>29</v>
      </c>
      <c r="G43" s="3"/>
      <c r="H43">
        <v>0.74396059999999997</v>
      </c>
    </row>
    <row r="44" spans="2:8" x14ac:dyDescent="0.3">
      <c r="B44" t="s">
        <v>22</v>
      </c>
      <c r="C44" s="3" t="s">
        <v>29</v>
      </c>
      <c r="D44" s="3" t="s">
        <v>29</v>
      </c>
      <c r="E44" s="3" t="s">
        <v>29</v>
      </c>
      <c r="F44" s="3"/>
      <c r="G44" s="3" t="s">
        <v>29</v>
      </c>
      <c r="H44">
        <v>0.76914260000000001</v>
      </c>
    </row>
    <row r="45" spans="2:8" x14ac:dyDescent="0.3">
      <c r="B45" t="s">
        <v>23</v>
      </c>
      <c r="C45" s="3" t="s">
        <v>29</v>
      </c>
      <c r="D45" s="3"/>
      <c r="E45" s="3" t="s">
        <v>29</v>
      </c>
      <c r="F45" s="3" t="s">
        <v>29</v>
      </c>
      <c r="G45" s="3" t="s">
        <v>29</v>
      </c>
      <c r="H45">
        <v>0.69048759999999998</v>
      </c>
    </row>
    <row r="46" spans="2:8" x14ac:dyDescent="0.3">
      <c r="B46" t="s">
        <v>24</v>
      </c>
      <c r="C46" s="3" t="s">
        <v>29</v>
      </c>
      <c r="D46" s="3" t="s">
        <v>29</v>
      </c>
      <c r="E46" s="3" t="s">
        <v>29</v>
      </c>
      <c r="F46" s="3"/>
      <c r="G46" s="3" t="s">
        <v>29</v>
      </c>
      <c r="H46">
        <v>0.84044260000000004</v>
      </c>
    </row>
    <row r="49" spans="2:15" x14ac:dyDescent="0.3">
      <c r="B49" s="1" t="s">
        <v>30</v>
      </c>
      <c r="J49" s="1" t="s">
        <v>31</v>
      </c>
    </row>
    <row r="51" spans="2:15" x14ac:dyDescent="0.3">
      <c r="B51" s="2" t="s">
        <v>0</v>
      </c>
      <c r="C51" s="2" t="s">
        <v>3</v>
      </c>
      <c r="D51" s="2" t="s">
        <v>4</v>
      </c>
      <c r="E51" s="2" t="s">
        <v>5</v>
      </c>
      <c r="F51" s="2" t="s">
        <v>6</v>
      </c>
      <c r="G51" s="2" t="s">
        <v>28</v>
      </c>
      <c r="J51" s="2" t="s">
        <v>0</v>
      </c>
      <c r="K51" s="2" t="s">
        <v>3</v>
      </c>
      <c r="L51" s="2" t="s">
        <v>4</v>
      </c>
      <c r="M51" s="2" t="s">
        <v>5</v>
      </c>
      <c r="N51" s="2" t="s">
        <v>6</v>
      </c>
      <c r="O51" s="2" t="s">
        <v>32</v>
      </c>
    </row>
    <row r="52" spans="2:15" x14ac:dyDescent="0.3">
      <c r="B52" t="s">
        <v>7</v>
      </c>
      <c r="C52" t="b">
        <v>1</v>
      </c>
      <c r="D52" t="b">
        <v>1</v>
      </c>
      <c r="E52" t="b">
        <v>1</v>
      </c>
      <c r="F52" t="b">
        <v>1</v>
      </c>
      <c r="G52">
        <v>0.24830273</v>
      </c>
      <c r="J52" t="s">
        <v>7</v>
      </c>
      <c r="K52" t="b">
        <v>1</v>
      </c>
      <c r="L52" t="b">
        <v>0</v>
      </c>
      <c r="M52" t="b">
        <v>1</v>
      </c>
      <c r="N52" t="b">
        <v>1</v>
      </c>
      <c r="O52">
        <v>0.25778436999999998</v>
      </c>
    </row>
    <row r="53" spans="2:15" x14ac:dyDescent="0.3">
      <c r="B53" t="s">
        <v>8</v>
      </c>
      <c r="C53" t="b">
        <v>1</v>
      </c>
      <c r="D53" t="b">
        <v>1</v>
      </c>
      <c r="E53" t="b">
        <v>1</v>
      </c>
      <c r="F53" t="b">
        <v>1</v>
      </c>
      <c r="G53">
        <v>0.29369768000000002</v>
      </c>
      <c r="J53" t="s">
        <v>8</v>
      </c>
      <c r="K53" t="b">
        <v>0</v>
      </c>
      <c r="L53" t="b">
        <v>1</v>
      </c>
      <c r="M53" t="b">
        <v>1</v>
      </c>
      <c r="N53" t="b">
        <v>1</v>
      </c>
      <c r="O53">
        <v>0.30324231000000001</v>
      </c>
    </row>
    <row r="54" spans="2:15" x14ac:dyDescent="0.3">
      <c r="B54" t="s">
        <v>9</v>
      </c>
      <c r="C54" t="b">
        <v>1</v>
      </c>
      <c r="D54" t="b">
        <v>1</v>
      </c>
      <c r="E54" t="b">
        <v>1</v>
      </c>
      <c r="F54" t="b">
        <v>1</v>
      </c>
      <c r="G54">
        <v>6.9367429999999994E-2</v>
      </c>
      <c r="J54" t="s">
        <v>9</v>
      </c>
      <c r="K54" t="b">
        <v>1</v>
      </c>
      <c r="L54" t="b">
        <v>1</v>
      </c>
      <c r="M54" t="b">
        <v>0</v>
      </c>
      <c r="N54" t="b">
        <v>1</v>
      </c>
      <c r="O54">
        <v>7.7977169999999998E-2</v>
      </c>
    </row>
    <row r="55" spans="2:15" x14ac:dyDescent="0.3">
      <c r="B55" t="s">
        <v>10</v>
      </c>
      <c r="C55" t="b">
        <v>1</v>
      </c>
      <c r="D55" t="b">
        <v>1</v>
      </c>
      <c r="E55" t="b">
        <v>1</v>
      </c>
      <c r="F55" t="b">
        <v>1</v>
      </c>
      <c r="G55">
        <v>0.19320781000000001</v>
      </c>
      <c r="J55" t="s">
        <v>10</v>
      </c>
      <c r="K55" t="b">
        <v>1</v>
      </c>
      <c r="L55" t="b">
        <v>1</v>
      </c>
      <c r="M55" t="b">
        <v>0</v>
      </c>
      <c r="N55" t="b">
        <v>1</v>
      </c>
      <c r="O55">
        <v>0.20508546999999999</v>
      </c>
    </row>
    <row r="56" spans="2:15" x14ac:dyDescent="0.3">
      <c r="B56" t="s">
        <v>11</v>
      </c>
      <c r="C56" t="b">
        <v>1</v>
      </c>
      <c r="D56" t="b">
        <v>1</v>
      </c>
      <c r="E56" t="b">
        <v>1</v>
      </c>
      <c r="F56" t="b">
        <v>1</v>
      </c>
      <c r="G56">
        <v>0.14096976999999999</v>
      </c>
      <c r="J56" t="s">
        <v>11</v>
      </c>
      <c r="K56" t="b">
        <v>0</v>
      </c>
      <c r="L56" t="b">
        <v>1</v>
      </c>
      <c r="M56" t="b">
        <v>1</v>
      </c>
      <c r="N56" t="b">
        <v>1</v>
      </c>
      <c r="O56">
        <v>0.15586625000000001</v>
      </c>
    </row>
    <row r="57" spans="2:15" x14ac:dyDescent="0.3">
      <c r="B57" t="s">
        <v>12</v>
      </c>
      <c r="C57" t="b">
        <v>1</v>
      </c>
      <c r="D57" t="b">
        <v>1</v>
      </c>
      <c r="E57" t="b">
        <v>1</v>
      </c>
      <c r="F57" t="b">
        <v>1</v>
      </c>
      <c r="G57">
        <v>0.18123623999999999</v>
      </c>
      <c r="J57" t="s">
        <v>12</v>
      </c>
      <c r="K57" t="b">
        <v>1</v>
      </c>
      <c r="L57" t="b">
        <v>0</v>
      </c>
      <c r="M57" t="b">
        <v>1</v>
      </c>
      <c r="N57" t="b">
        <v>1</v>
      </c>
      <c r="O57">
        <v>0.19473234</v>
      </c>
    </row>
    <row r="58" spans="2:15" x14ac:dyDescent="0.3">
      <c r="B58" t="s">
        <v>13</v>
      </c>
      <c r="C58" t="b">
        <v>1</v>
      </c>
      <c r="D58" t="b">
        <v>1</v>
      </c>
      <c r="E58" t="b">
        <v>1</v>
      </c>
      <c r="F58" t="b">
        <v>1</v>
      </c>
      <c r="G58">
        <v>1.629069E-2</v>
      </c>
      <c r="J58" t="s">
        <v>13</v>
      </c>
      <c r="K58" t="b">
        <v>1</v>
      </c>
      <c r="L58" t="b">
        <v>1</v>
      </c>
      <c r="M58" t="b">
        <v>0</v>
      </c>
      <c r="N58" t="b">
        <v>1</v>
      </c>
      <c r="O58">
        <v>3.2921819999999997E-2</v>
      </c>
    </row>
    <row r="59" spans="2:15" x14ac:dyDescent="0.3">
      <c r="B59" t="s">
        <v>14</v>
      </c>
      <c r="C59" t="b">
        <v>1</v>
      </c>
      <c r="D59" t="b">
        <v>1</v>
      </c>
      <c r="E59" t="b">
        <v>1</v>
      </c>
      <c r="F59" t="b">
        <v>1</v>
      </c>
      <c r="G59">
        <v>0.32131198</v>
      </c>
      <c r="J59" t="s">
        <v>14</v>
      </c>
      <c r="K59" t="b">
        <v>1</v>
      </c>
      <c r="L59" t="b">
        <v>1</v>
      </c>
      <c r="M59" t="b">
        <v>0</v>
      </c>
      <c r="N59" t="b">
        <v>1</v>
      </c>
      <c r="O59">
        <v>0.33096157999999998</v>
      </c>
    </row>
    <row r="60" spans="2:15" x14ac:dyDescent="0.3">
      <c r="B60" t="s">
        <v>15</v>
      </c>
      <c r="C60" t="b">
        <v>1</v>
      </c>
      <c r="D60" t="b">
        <v>1</v>
      </c>
      <c r="E60" t="b">
        <v>1</v>
      </c>
      <c r="F60" t="b">
        <v>1</v>
      </c>
      <c r="G60">
        <v>0.21345959</v>
      </c>
      <c r="J60" t="s">
        <v>15</v>
      </c>
      <c r="K60" t="b">
        <v>1</v>
      </c>
      <c r="L60" t="b">
        <v>0</v>
      </c>
      <c r="M60" t="b">
        <v>1</v>
      </c>
      <c r="N60" t="b">
        <v>1</v>
      </c>
      <c r="O60">
        <v>0.22952214000000001</v>
      </c>
    </row>
    <row r="61" spans="2:15" x14ac:dyDescent="0.3">
      <c r="B61" t="s">
        <v>16</v>
      </c>
      <c r="C61" t="b">
        <v>1</v>
      </c>
      <c r="D61" t="b">
        <v>1</v>
      </c>
      <c r="E61" t="b">
        <v>1</v>
      </c>
      <c r="F61" t="b">
        <v>1</v>
      </c>
      <c r="G61">
        <v>4.0070469999999997E-2</v>
      </c>
      <c r="J61" t="s">
        <v>16</v>
      </c>
      <c r="K61" t="b">
        <v>0</v>
      </c>
      <c r="L61" t="b">
        <v>1</v>
      </c>
      <c r="M61" t="b">
        <v>1</v>
      </c>
      <c r="N61" t="b">
        <v>1</v>
      </c>
      <c r="O61">
        <v>5.2572630000000002E-2</v>
      </c>
    </row>
    <row r="62" spans="2:15" x14ac:dyDescent="0.3">
      <c r="B62" t="s">
        <v>17</v>
      </c>
      <c r="C62" t="b">
        <v>1</v>
      </c>
      <c r="D62" t="b">
        <v>1</v>
      </c>
      <c r="E62" t="b">
        <v>1</v>
      </c>
      <c r="F62" t="b">
        <v>1</v>
      </c>
      <c r="G62">
        <v>0.2210964</v>
      </c>
      <c r="J62" t="s">
        <v>17</v>
      </c>
      <c r="K62" t="b">
        <v>1</v>
      </c>
      <c r="L62" t="b">
        <v>0</v>
      </c>
      <c r="M62" t="b">
        <v>1</v>
      </c>
      <c r="N62" t="b">
        <v>1</v>
      </c>
      <c r="O62">
        <v>0.23345995</v>
      </c>
    </row>
    <row r="63" spans="2:15" x14ac:dyDescent="0.3">
      <c r="B63" t="s">
        <v>18</v>
      </c>
      <c r="C63" t="b">
        <v>1</v>
      </c>
      <c r="D63" t="b">
        <v>1</v>
      </c>
      <c r="E63" t="b">
        <v>1</v>
      </c>
      <c r="F63" t="b">
        <v>1</v>
      </c>
      <c r="G63">
        <v>2.4251620000000002E-2</v>
      </c>
      <c r="J63" t="s">
        <v>18</v>
      </c>
      <c r="K63" t="b">
        <v>0</v>
      </c>
      <c r="L63" t="b">
        <v>1</v>
      </c>
      <c r="M63" t="b">
        <v>1</v>
      </c>
      <c r="N63" t="b">
        <v>1</v>
      </c>
      <c r="O63">
        <v>3.6234820000000001E-2</v>
      </c>
    </row>
    <row r="64" spans="2:15" x14ac:dyDescent="0.3">
      <c r="B64" t="s">
        <v>19</v>
      </c>
      <c r="C64" t="b">
        <v>1</v>
      </c>
      <c r="D64" t="b">
        <v>1</v>
      </c>
      <c r="E64" t="b">
        <v>1</v>
      </c>
      <c r="F64" t="b">
        <v>1</v>
      </c>
      <c r="G64">
        <v>7.8659720000000002E-2</v>
      </c>
      <c r="J64" t="s">
        <v>19</v>
      </c>
      <c r="K64" t="b">
        <v>1</v>
      </c>
      <c r="L64" t="b">
        <v>1</v>
      </c>
      <c r="M64" t="b">
        <v>0</v>
      </c>
      <c r="N64" t="b">
        <v>1</v>
      </c>
      <c r="O64">
        <v>9.1515630000000001E-2</v>
      </c>
    </row>
    <row r="65" spans="2:15" x14ac:dyDescent="0.3">
      <c r="B65" t="s">
        <v>20</v>
      </c>
      <c r="C65" t="b">
        <v>1</v>
      </c>
      <c r="D65" t="b">
        <v>1</v>
      </c>
      <c r="E65" t="b">
        <v>1</v>
      </c>
      <c r="F65" t="b">
        <v>1</v>
      </c>
      <c r="G65">
        <v>1.4134519999999999E-2</v>
      </c>
      <c r="J65" t="s">
        <v>20</v>
      </c>
      <c r="K65" t="b">
        <v>1</v>
      </c>
      <c r="L65" t="b">
        <v>1</v>
      </c>
      <c r="M65" t="b">
        <v>0</v>
      </c>
      <c r="N65" t="b">
        <v>1</v>
      </c>
      <c r="O65">
        <v>2.4088490000000001E-2</v>
      </c>
    </row>
    <row r="66" spans="2:15" x14ac:dyDescent="0.3">
      <c r="B66" t="s">
        <v>21</v>
      </c>
      <c r="C66" t="b">
        <v>1</v>
      </c>
      <c r="D66" t="b">
        <v>1</v>
      </c>
      <c r="E66" t="b">
        <v>1</v>
      </c>
      <c r="F66" t="b">
        <v>1</v>
      </c>
      <c r="G66">
        <v>0.31802770000000002</v>
      </c>
      <c r="J66" t="s">
        <v>21</v>
      </c>
      <c r="K66" t="b">
        <v>1</v>
      </c>
      <c r="L66" t="b">
        <v>1</v>
      </c>
      <c r="M66" t="b">
        <v>0</v>
      </c>
      <c r="N66" t="b">
        <v>1</v>
      </c>
      <c r="O66">
        <v>0.32695147000000002</v>
      </c>
    </row>
    <row r="67" spans="2:15" x14ac:dyDescent="0.3">
      <c r="B67" t="s">
        <v>22</v>
      </c>
      <c r="C67" t="b">
        <v>1</v>
      </c>
      <c r="D67" t="b">
        <v>1</v>
      </c>
      <c r="E67" t="b">
        <v>1</v>
      </c>
      <c r="F67" t="b">
        <v>1</v>
      </c>
      <c r="G67">
        <v>0.67997510000000005</v>
      </c>
      <c r="J67" t="s">
        <v>22</v>
      </c>
      <c r="K67" t="b">
        <v>1</v>
      </c>
      <c r="L67" t="b">
        <v>1</v>
      </c>
      <c r="M67" t="b">
        <v>0</v>
      </c>
      <c r="N67" t="b">
        <v>1</v>
      </c>
      <c r="O67">
        <v>0.68195053999999999</v>
      </c>
    </row>
    <row r="68" spans="2:15" x14ac:dyDescent="0.3">
      <c r="B68" t="s">
        <v>23</v>
      </c>
      <c r="C68" t="b">
        <v>1</v>
      </c>
      <c r="D68" t="b">
        <v>1</v>
      </c>
      <c r="E68" t="b">
        <v>1</v>
      </c>
      <c r="F68" t="b">
        <v>1</v>
      </c>
      <c r="G68">
        <v>0.40838118000000001</v>
      </c>
      <c r="J68" t="s">
        <v>23</v>
      </c>
      <c r="K68" t="b">
        <v>1</v>
      </c>
      <c r="L68" t="b">
        <v>0</v>
      </c>
      <c r="M68" t="b">
        <v>1</v>
      </c>
      <c r="N68" t="b">
        <v>1</v>
      </c>
      <c r="O68">
        <v>0.41627512999999999</v>
      </c>
    </row>
    <row r="69" spans="2:15" x14ac:dyDescent="0.3">
      <c r="B69" t="s">
        <v>24</v>
      </c>
      <c r="C69" t="b">
        <v>1</v>
      </c>
      <c r="D69" t="b">
        <v>1</v>
      </c>
      <c r="E69" t="b">
        <v>1</v>
      </c>
      <c r="F69" t="b">
        <v>1</v>
      </c>
      <c r="G69">
        <v>0.40366111999999998</v>
      </c>
      <c r="J69" t="s">
        <v>24</v>
      </c>
      <c r="K69" t="b">
        <v>1</v>
      </c>
      <c r="L69" t="b">
        <v>1</v>
      </c>
      <c r="M69" t="b">
        <v>0</v>
      </c>
      <c r="N69" t="b">
        <v>1</v>
      </c>
      <c r="O69">
        <v>0.41217193000000002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CFF652E2B7794693435CC41F5B4CA1" ma:contentTypeVersion="18" ma:contentTypeDescription="Criar um novo documento." ma:contentTypeScope="" ma:versionID="2753c092c6e3650bfb39a0d5920becdb">
  <xsd:schema xmlns:xsd="http://www.w3.org/2001/XMLSchema" xmlns:xs="http://www.w3.org/2001/XMLSchema" xmlns:p="http://schemas.microsoft.com/office/2006/metadata/properties" xmlns:ns3="7b5dc55a-e723-417d-bbd9-2b7384a51092" xmlns:ns4="53b96b38-2798-47b2-a685-55ac0f3a25a3" targetNamespace="http://schemas.microsoft.com/office/2006/metadata/properties" ma:root="true" ma:fieldsID="ebc10ce64d22c41095b2c63fe6f6b3f8" ns3:_="" ns4:_="">
    <xsd:import namespace="7b5dc55a-e723-417d-bbd9-2b7384a51092"/>
    <xsd:import namespace="53b96b38-2798-47b2-a685-55ac0f3a25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dc55a-e723-417d-bbd9-2b7384a510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96b38-2798-47b2-a685-55ac0f3a25a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5dc55a-e723-417d-bbd9-2b7384a5109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A63570-DE3B-4061-A252-6F16027443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5dc55a-e723-417d-bbd9-2b7384a51092"/>
    <ds:schemaRef ds:uri="53b96b38-2798-47b2-a685-55ac0f3a25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8394E3-3502-4278-897E-CA609F09FC7F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53b96b38-2798-47b2-a685-55ac0f3a25a3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7b5dc55a-e723-417d-bbd9-2b7384a5109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8708EEF-3554-4A3F-B1A7-CCD4F989B1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João Teixeira Martins</dc:creator>
  <cp:lastModifiedBy>mjmartins</cp:lastModifiedBy>
  <dcterms:created xsi:type="dcterms:W3CDTF">2025-10-07T17:10:17Z</dcterms:created>
  <dcterms:modified xsi:type="dcterms:W3CDTF">2025-10-12T10:31:58Z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0x0101008ECFF652E2B7794693435CC41F5B4CA1</vt:lpwstr>
  </property>
</Properties>
</file>