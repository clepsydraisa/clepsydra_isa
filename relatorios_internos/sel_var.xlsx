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jmartins\OneDrive - Universidade de Lisboa\Documentos\Clepsydra_ISA\"/>
    </mc:Choice>
  </mc:AlternateContent>
  <bookViews>
    <workbookView xWindow="1176" yWindow="1116" windowWidth="23748" windowHeight="14496"/>
  </bookViews>
  <sheets>
    <sheet name="16Out" sheetId="3" r:id="rId1"/>
    <sheet name="12Out" sheetId="2" r:id="rId2"/>
    <sheet name="old" sheetId="1" r:id="rId3"/>
  </sheets>
  <definedNames>
    <definedName name="_xlnm._FilterDatabase" localSheetId="1" hidden="1">'12Out'!$A$20:$L$40</definedName>
    <definedName name="_xlnm._FilterDatabase" localSheetId="0" hidden="1">'16Out'!$A$54:$K$82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0" i="3" l="1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19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87" i="3"/>
  <c r="P23" i="2" l="1"/>
  <c r="P26" i="2"/>
  <c r="P27" i="2"/>
  <c r="P29" i="2"/>
  <c r="P30" i="2"/>
  <c r="P31" i="2"/>
  <c r="P32" i="2"/>
  <c r="P33" i="2"/>
  <c r="P34" i="2"/>
  <c r="P35" i="2"/>
  <c r="P36" i="2"/>
  <c r="P37" i="2"/>
  <c r="P38" i="2"/>
  <c r="P39" i="2"/>
  <c r="P40" i="2"/>
  <c r="P21" i="2"/>
  <c r="R116" i="2" l="1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S115" i="2"/>
  <c r="R115" i="2"/>
  <c r="L116" i="2"/>
  <c r="L117" i="2"/>
  <c r="L118" i="2"/>
  <c r="L119" i="2"/>
  <c r="L120" i="2"/>
  <c r="L115" i="2"/>
  <c r="K116" i="2"/>
  <c r="K117" i="2"/>
  <c r="K118" i="2"/>
  <c r="K119" i="2"/>
  <c r="K120" i="2"/>
  <c r="K115" i="2"/>
  <c r="D116" i="2"/>
  <c r="E116" i="2"/>
  <c r="D117" i="2"/>
  <c r="E117" i="2"/>
  <c r="D118" i="2"/>
  <c r="E118" i="2"/>
  <c r="D119" i="2"/>
  <c r="E119" i="2"/>
  <c r="D120" i="2"/>
  <c r="E120" i="2"/>
  <c r="E115" i="2"/>
  <c r="D115" i="2"/>
  <c r="L94" i="2" l="1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93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45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69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45" i="2"/>
</calcChain>
</file>

<file path=xl/sharedStrings.xml><?xml version="1.0" encoding="utf-8"?>
<sst xmlns="http://schemas.openxmlformats.org/spreadsheetml/2006/main" count="1182" uniqueCount="127">
  <si>
    <t>poco</t>
  </si>
  <si>
    <t>n</t>
  </si>
  <si>
    <t>GWD_ant</t>
  </si>
  <si>
    <t>rr</t>
  </si>
  <si>
    <t>Eto</t>
  </si>
  <si>
    <t>caudal_</t>
  </si>
  <si>
    <t>caudal_ant</t>
  </si>
  <si>
    <t>418/15</t>
  </si>
  <si>
    <t>391/33</t>
  </si>
  <si>
    <t>377/94</t>
  </si>
  <si>
    <t>420/8</t>
  </si>
  <si>
    <t>420/9</t>
  </si>
  <si>
    <t>418/4</t>
  </si>
  <si>
    <t>432/68</t>
  </si>
  <si>
    <t>405/17</t>
  </si>
  <si>
    <t>404/69</t>
  </si>
  <si>
    <t>405/67</t>
  </si>
  <si>
    <t>420/12</t>
  </si>
  <si>
    <t>406/27</t>
  </si>
  <si>
    <t>330/183</t>
  </si>
  <si>
    <t>406/97</t>
  </si>
  <si>
    <t>443/924</t>
  </si>
  <si>
    <t>377/86</t>
  </si>
  <si>
    <t>341/17</t>
  </si>
  <si>
    <t>405/167</t>
  </si>
  <si>
    <r>
      <t xml:space="preserve">Correlação de </t>
    </r>
    <r>
      <rPr>
        <b/>
        <sz val="11"/>
        <color theme="1"/>
        <rFont val="Calibri"/>
        <family val="2"/>
        <scheme val="minor"/>
      </rPr>
      <t>Pearson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</si>
  <si>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r>
      <t xml:space="preserve">Correlação de </t>
    </r>
    <r>
      <rPr>
        <b/>
        <sz val="11"/>
        <color theme="1"/>
        <rFont val="Calibri"/>
        <family val="2"/>
        <scheme val="minor"/>
      </rPr>
      <t>Spearman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</si>
  <si>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t>Selecao de variáveis: critério R2 modificado</t>
  </si>
  <si>
    <t>R2_adj</t>
  </si>
  <si>
    <t>X</t>
  </si>
  <si>
    <t>Selecao de variáveis: critério R2 modificado (sem GWD_ant)</t>
  </si>
  <si>
    <t>SEM GWD_ant | apenas 3 variaveis</t>
  </si>
  <si>
    <t>R2</t>
  </si>
  <si>
    <t>391/437</t>
  </si>
  <si>
    <t>432/800</t>
  </si>
  <si>
    <t>444/317</t>
  </si>
  <si>
    <t>434/280</t>
  </si>
  <si>
    <t>432/855</t>
  </si>
  <si>
    <t>391/243</t>
  </si>
  <si>
    <t>444/85</t>
  </si>
  <si>
    <t>434/306</t>
  </si>
  <si>
    <t>342/78</t>
  </si>
  <si>
    <t>433/297</t>
  </si>
  <si>
    <t>405/15</t>
  </si>
  <si>
    <t>376/24</t>
  </si>
  <si>
    <t>390/208</t>
  </si>
  <si>
    <t>377/54</t>
  </si>
  <si>
    <t>420/105</t>
  </si>
  <si>
    <t>331/2</t>
  </si>
  <si>
    <t>377/56</t>
  </si>
  <si>
    <t>405/34</t>
  </si>
  <si>
    <t>391/312</t>
  </si>
  <si>
    <t>342/97</t>
  </si>
  <si>
    <t>377/84</t>
  </si>
  <si>
    <t>365/428</t>
  </si>
  <si>
    <t>444/318</t>
  </si>
  <si>
    <t>353/687</t>
  </si>
  <si>
    <t>377/59</t>
  </si>
  <si>
    <t>365/1076</t>
  </si>
  <si>
    <t>405/52</t>
  </si>
  <si>
    <t>353/346</t>
  </si>
  <si>
    <t>432/77</t>
  </si>
  <si>
    <t>391/403</t>
  </si>
  <si>
    <t>432/69</t>
  </si>
  <si>
    <t>329/6</t>
  </si>
  <si>
    <t>390/114</t>
  </si>
  <si>
    <t>391/245</t>
  </si>
  <si>
    <t>353/353</t>
  </si>
  <si>
    <t>378/129</t>
  </si>
  <si>
    <t>405/14</t>
  </si>
  <si>
    <t>365/233</t>
  </si>
  <si>
    <t>Poços com linhas completas de dados com lags 0, 1, 2</t>
  </si>
  <si>
    <t>eto</t>
  </si>
  <si>
    <t>caudal</t>
  </si>
  <si>
    <t>rr_lag1</t>
  </si>
  <si>
    <t>rr_lag2</t>
  </si>
  <si>
    <t>eto_lag1</t>
  </si>
  <si>
    <t>eto_lag2</t>
  </si>
  <si>
    <t>caudal_lag1</t>
  </si>
  <si>
    <t>caudal_lag2</t>
  </si>
  <si>
    <t>BEST R2_adj</t>
  </si>
  <si>
    <t>SECOND BEST R2_adj</t>
  </si>
  <si>
    <t>dif Best</t>
  </si>
  <si>
    <t>THIRD BEST R2_adj</t>
  </si>
  <si>
    <t>nvar</t>
  </si>
  <si>
    <t>5 variáveis:
rr+rr_lag1+eto_lag1+eto_lag2+caudal_lag2</t>
  </si>
  <si>
    <t>4 variáveis:
rr+rr_lag1+eto_lag1+caudal_lag2</t>
  </si>
  <si>
    <t>4 variáveis:
rr+rr_lag1+eto_lag2+caudal_lag2</t>
  </si>
  <si>
    <t>R2_adj Best</t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</si>
  <si>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5 variáveis:
rr+rr_lag1+</t>
    </r>
    <r>
      <rPr>
        <sz val="11"/>
        <color rgb="FFFF0000"/>
        <rFont val="Calibri"/>
        <family val="2"/>
        <scheme val="minor"/>
      </rPr>
      <t>eto_lag1</t>
    </r>
    <r>
      <rPr>
        <sz val="11"/>
        <color theme="1"/>
        <rFont val="Calibri"/>
        <family val="2"/>
        <scheme val="minor"/>
      </rPr>
      <t>+eto_lag2+
caudal_lag2</t>
    </r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</si>
  <si>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4 variáveis:
rr+rr_lag1+eto_lag2+
caudal_lag2</t>
    </r>
  </si>
  <si>
    <r>
      <t xml:space="preserve">Poços que ficam </t>
    </r>
    <r>
      <rPr>
        <b/>
        <sz val="11"/>
        <color rgb="FFFF0000"/>
        <rFont val="Calibri"/>
        <family val="2"/>
        <scheme val="minor"/>
      </rPr>
      <t>MAL</t>
    </r>
    <r>
      <rPr>
        <sz val="11"/>
        <color theme="1"/>
        <rFont val="Calibri"/>
        <family val="2"/>
        <scheme val="minor"/>
      </rPr>
      <t xml:space="preserve"> com  5 variáveis:
rr+rr_lag1+</t>
    </r>
    <r>
      <rPr>
        <sz val="11"/>
        <rFont val="Calibri"/>
        <family val="2"/>
        <scheme val="minor"/>
      </rPr>
      <t>eto_lag1+</t>
    </r>
    <r>
      <rPr>
        <sz val="11"/>
        <color theme="1"/>
        <rFont val="Calibri"/>
        <family val="2"/>
        <scheme val="minor"/>
      </rPr>
      <t>eto_lag2+
caudal_lag2</t>
    </r>
  </si>
  <si>
    <t>piora muito com outras variáveis</t>
  </si>
  <si>
    <t>PIORA</t>
  </si>
  <si>
    <t>modelo COMPLETO (9 var)</t>
  </si>
  <si>
    <t>365/71</t>
  </si>
  <si>
    <t>390/110</t>
  </si>
  <si>
    <t>392/29</t>
  </si>
  <si>
    <t>404/51</t>
  </si>
  <si>
    <t>404/53</t>
  </si>
  <si>
    <t>404/61</t>
  </si>
  <si>
    <t>404/62</t>
  </si>
  <si>
    <t>405/11</t>
  </si>
  <si>
    <t>405/12</t>
  </si>
  <si>
    <t>405/13</t>
  </si>
  <si>
    <t>405/18</t>
  </si>
  <si>
    <t>405/51</t>
  </si>
  <si>
    <t>405/68</t>
  </si>
  <si>
    <t>405/69</t>
  </si>
  <si>
    <t>405/7</t>
  </si>
  <si>
    <t>405/70</t>
  </si>
  <si>
    <t>432/73</t>
  </si>
  <si>
    <r>
      <t xml:space="preserve">CORRELACAO DE   </t>
    </r>
    <r>
      <rPr>
        <b/>
        <sz val="11"/>
        <rFont val="Calibri"/>
        <family val="2"/>
        <scheme val="minor"/>
      </rPr>
      <t>PEARSON</t>
    </r>
    <r>
      <rPr>
        <sz val="11"/>
        <rFont val="Calibri"/>
        <family val="2"/>
        <scheme val="minor"/>
      </rPr>
      <t xml:space="preserve">   DE GWD COM CADA UMA DAS VARIAVEIS</t>
    </r>
  </si>
  <si>
    <r>
      <t xml:space="preserve">CORRELACAO DE    </t>
    </r>
    <r>
      <rPr>
        <b/>
        <sz val="11"/>
        <color theme="1"/>
        <rFont val="Calibri"/>
        <family val="2"/>
        <scheme val="minor"/>
      </rPr>
      <t>SPEARMAN</t>
    </r>
    <r>
      <rPr>
        <sz val="11"/>
        <color theme="1"/>
        <rFont val="Calibri"/>
        <family val="2"/>
        <scheme val="minor"/>
      </rPr>
      <t xml:space="preserve">      DE GWD COM CADA UMA DAS VARIAVEIS</t>
    </r>
  </si>
  <si>
    <t>TODAS (9)  VARIAVEIS</t>
  </si>
  <si>
    <t>6 VARIAVEIS COM 
LAG 1 OU 2</t>
  </si>
  <si>
    <t>3 VARIAVEIS COM 
LAG 1</t>
  </si>
  <si>
    <t>3 VARIAVEIS COM 
LAG 2</t>
  </si>
  <si>
    <t>3 VARIAVEIS
rr_lag1 + eto_2 + caudal_2</t>
  </si>
  <si>
    <t>2º melhor</t>
  </si>
  <si>
    <r>
      <t xml:space="preserve">A </t>
    </r>
    <r>
      <rPr>
        <sz val="11"/>
        <color rgb="FFFF0000"/>
        <rFont val="Calibri"/>
        <family val="2"/>
        <scheme val="minor"/>
      </rPr>
      <t>VERMELHO</t>
    </r>
    <r>
      <rPr>
        <sz val="11"/>
        <color theme="1"/>
        <rFont val="Calibri"/>
        <family val="2"/>
        <scheme val="minor"/>
      </rPr>
      <t xml:space="preserve">  estão os poços em que a GWD não se relaciona minimamente com as restantes variáveis (R2 abaixo de 0.1)</t>
    </r>
  </si>
  <si>
    <t>melhor R2_adj</t>
  </si>
  <si>
    <t>dif relativa</t>
  </si>
  <si>
    <t>6 variaveis</t>
  </si>
  <si>
    <t>OK?</t>
  </si>
  <si>
    <t>?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</si>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</sst>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80DC8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/>
    <xf numFmtId="0" fontId="0" fillId="0" borderId="0" xfId="0" applyFill="1"/>
    <xf numFmtId="0" fontId="0" fillId="5" borderId="0" xfId="0" applyFill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shrinkToFit="1"/>
    </xf>
    <xf numFmtId="0" fontId="0" fillId="8" borderId="0" xfId="0" applyFill="1" applyAlignment="1"/>
    <xf numFmtId="0" fontId="1" fillId="8" borderId="0" xfId="0" applyFont="1" applyFill="1" applyAlignment="1">
      <alignment horizontal="center"/>
    </xf>
    <xf numFmtId="0" fontId="0" fillId="7" borderId="0" xfId="0" applyFill="1" applyAlignment="1">
      <alignment horizontal="left" wrapText="1"/>
    </xf>
    <xf numFmtId="0" fontId="0" fillId="5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4" borderId="0" xfId="0" applyFill="1"/>
    <xf numFmtId="0" fontId="6" fillId="5" borderId="0" xfId="0" applyFont="1" applyFill="1"/>
    <xf numFmtId="0" fontId="0" fillId="8" borderId="0" xfId="0" applyFill="1"/>
    <xf numFmtId="0" fontId="0" fillId="8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1" fillId="9" borderId="0" xfId="0" applyFont="1" applyFill="1" applyAlignment="1">
      <alignment horizontal="center"/>
    </xf>
    <xf numFmtId="0" fontId="0" fillId="11" borderId="0" xfId="0" applyFill="1" applyAlignment="1">
      <alignment horizontal="center" wrapText="1"/>
    </xf>
    <xf numFmtId="0" fontId="1" fillId="11" borderId="0" xfId="0" applyFont="1" applyFill="1" applyAlignment="1">
      <alignment horizontal="center"/>
    </xf>
    <xf numFmtId="0" fontId="0" fillId="12" borderId="0" xfId="0" applyFill="1" applyAlignment="1">
      <alignment horizontal="center" wrapText="1"/>
    </xf>
    <xf numFmtId="0" fontId="1" fillId="12" borderId="0" xfId="0" applyFont="1" applyFill="1" applyAlignment="1">
      <alignment horizontal="center"/>
    </xf>
    <xf numFmtId="0" fontId="0" fillId="13" borderId="0" xfId="0" applyFill="1" applyAlignment="1">
      <alignment horizontal="center" wrapText="1"/>
    </xf>
    <xf numFmtId="0" fontId="1" fillId="13" borderId="0" xfId="0" applyFont="1" applyFill="1" applyAlignment="1">
      <alignment horizontal="center"/>
    </xf>
    <xf numFmtId="0" fontId="0" fillId="10" borderId="0" xfId="0" applyFill="1"/>
    <xf numFmtId="0" fontId="3" fillId="10" borderId="0" xfId="0" applyFont="1" applyFill="1"/>
    <xf numFmtId="0" fontId="0" fillId="14" borderId="0" xfId="0" applyFill="1"/>
    <xf numFmtId="0" fontId="3" fillId="14" borderId="0" xfId="0" applyFont="1" applyFill="1"/>
    <xf numFmtId="164" fontId="0" fillId="0" borderId="0" xfId="1" applyNumberFormat="1" applyFont="1"/>
    <xf numFmtId="164" fontId="3" fillId="0" borderId="0" xfId="1" applyNumberFormat="1" applyFont="1"/>
  </cellXfs>
  <cellStyles count="2">
    <cellStyle name="Normal" xfId="0" builtinId="0"/>
    <cellStyle name="Percent" xfId="1" builtinId="5"/>
  </cellStyles>
  <dxfs count="14"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80DC8D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146"/>
  <sheetViews>
    <sheetView tabSelected="1" topLeftCell="A115" zoomScaleNormal="100" workbookViewId="0">
      <selection activeCell="A117" sqref="A117"/>
    </sheetView>
  </sheetViews>
  <sheetFormatPr defaultRowHeight="14.4" x14ac:dyDescent="0.3"/>
  <cols>
    <col min="10" max="11" width="11.6640625" bestFit="1" customWidth="1"/>
    <col min="12" max="12" width="10.33203125" customWidth="1"/>
  </cols>
  <sheetData>
    <row r="2" spans="1:12" x14ac:dyDescent="0.3">
      <c r="A2" s="4" t="s">
        <v>71</v>
      </c>
      <c r="B2" s="4"/>
      <c r="C2" s="4"/>
      <c r="D2" s="4"/>
      <c r="E2" s="4"/>
    </row>
    <row r="4" spans="1:12" x14ac:dyDescent="0.3">
      <c r="A4" s="6" t="s">
        <v>7</v>
      </c>
      <c r="B4" s="6" t="s">
        <v>8</v>
      </c>
      <c r="C4" s="6" t="s">
        <v>18</v>
      </c>
      <c r="D4" s="6" t="s">
        <v>9</v>
      </c>
      <c r="E4" s="6" t="s">
        <v>19</v>
      </c>
      <c r="F4" s="6" t="s">
        <v>14</v>
      </c>
      <c r="G4" s="6" t="s">
        <v>20</v>
      </c>
      <c r="H4" s="6" t="s">
        <v>21</v>
      </c>
      <c r="I4" s="6" t="s">
        <v>22</v>
      </c>
      <c r="J4" s="6" t="s">
        <v>23</v>
      </c>
      <c r="K4" s="6" t="s">
        <v>24</v>
      </c>
      <c r="L4" s="6" t="s">
        <v>17</v>
      </c>
    </row>
    <row r="5" spans="1:12" x14ac:dyDescent="0.3">
      <c r="A5" s="3">
        <v>221</v>
      </c>
      <c r="B5" s="3">
        <v>219</v>
      </c>
      <c r="C5" s="3">
        <v>218</v>
      </c>
      <c r="D5" s="3">
        <v>217</v>
      </c>
      <c r="E5" s="3">
        <v>211</v>
      </c>
      <c r="F5" s="3">
        <v>207</v>
      </c>
      <c r="G5" s="3">
        <v>207</v>
      </c>
      <c r="H5" s="3">
        <v>201</v>
      </c>
      <c r="I5" s="3">
        <v>193</v>
      </c>
      <c r="J5" s="3">
        <v>190</v>
      </c>
      <c r="K5" s="3">
        <v>187</v>
      </c>
      <c r="L5" s="3">
        <v>186</v>
      </c>
    </row>
    <row r="6" spans="1:12" ht="28.8" customHeight="1" x14ac:dyDescent="0.3">
      <c r="A6" s="6" t="s">
        <v>34</v>
      </c>
      <c r="B6" s="6" t="s">
        <v>16</v>
      </c>
      <c r="C6" s="6" t="s">
        <v>12</v>
      </c>
      <c r="D6" s="6" t="s">
        <v>35</v>
      </c>
      <c r="E6" s="6" t="s">
        <v>36</v>
      </c>
      <c r="F6" s="6" t="s">
        <v>11</v>
      </c>
      <c r="G6" s="6" t="s">
        <v>33</v>
      </c>
      <c r="H6" s="6" t="s">
        <v>10</v>
      </c>
      <c r="I6" s="6" t="s">
        <v>13</v>
      </c>
      <c r="J6" s="6" t="s">
        <v>37</v>
      </c>
      <c r="K6" s="6" t="s">
        <v>39</v>
      </c>
      <c r="L6" s="6" t="s">
        <v>15</v>
      </c>
    </row>
    <row r="7" spans="1:12" x14ac:dyDescent="0.3">
      <c r="A7" s="3">
        <v>184</v>
      </c>
      <c r="B7" s="3">
        <v>179</v>
      </c>
      <c r="C7" s="3">
        <v>178</v>
      </c>
      <c r="D7" s="3">
        <v>176</v>
      </c>
      <c r="E7" s="3">
        <v>169</v>
      </c>
      <c r="F7" s="3">
        <v>168</v>
      </c>
      <c r="G7" s="3">
        <v>165</v>
      </c>
      <c r="H7" s="3">
        <v>164</v>
      </c>
      <c r="I7" s="3">
        <v>164</v>
      </c>
      <c r="J7" s="3">
        <v>153</v>
      </c>
      <c r="K7" s="3">
        <v>141</v>
      </c>
      <c r="L7" s="3">
        <v>136</v>
      </c>
    </row>
    <row r="8" spans="1:12" ht="28.8" customHeight="1" x14ac:dyDescent="0.3">
      <c r="A8" s="6" t="s">
        <v>42</v>
      </c>
      <c r="B8" s="6" t="s">
        <v>47</v>
      </c>
      <c r="C8" s="6" t="s">
        <v>40</v>
      </c>
      <c r="D8" s="6" t="s">
        <v>38</v>
      </c>
      <c r="E8" s="2" t="s">
        <v>41</v>
      </c>
      <c r="F8" s="2" t="s">
        <v>51</v>
      </c>
      <c r="G8" s="2" t="s">
        <v>43</v>
      </c>
      <c r="H8" s="2" t="s">
        <v>48</v>
      </c>
      <c r="I8" s="2" t="s">
        <v>50</v>
      </c>
      <c r="J8" s="2" t="s">
        <v>44</v>
      </c>
      <c r="K8" s="2" t="s">
        <v>45</v>
      </c>
      <c r="L8" s="2" t="s">
        <v>46</v>
      </c>
    </row>
    <row r="9" spans="1:12" x14ac:dyDescent="0.3">
      <c r="A9" s="3">
        <v>126</v>
      </c>
      <c r="B9" s="3">
        <v>116</v>
      </c>
      <c r="C9" s="3">
        <v>109</v>
      </c>
      <c r="D9" s="3">
        <v>102</v>
      </c>
      <c r="E9" s="3">
        <v>93</v>
      </c>
      <c r="F9" s="3">
        <v>88</v>
      </c>
      <c r="G9" s="3">
        <v>85</v>
      </c>
      <c r="H9" s="3">
        <v>80</v>
      </c>
      <c r="I9" s="3">
        <v>79</v>
      </c>
      <c r="J9" s="3">
        <v>75</v>
      </c>
      <c r="K9" s="3">
        <v>75</v>
      </c>
      <c r="L9" s="3">
        <v>74</v>
      </c>
    </row>
    <row r="10" spans="1:12" ht="28.2" customHeight="1" x14ac:dyDescent="0.3">
      <c r="A10" s="2" t="s">
        <v>49</v>
      </c>
      <c r="B10" s="2" t="s">
        <v>52</v>
      </c>
      <c r="C10" s="2" t="s">
        <v>54</v>
      </c>
      <c r="D10" s="2" t="s">
        <v>55</v>
      </c>
      <c r="E10" s="2" t="s">
        <v>53</v>
      </c>
      <c r="F10" s="2" t="s">
        <v>56</v>
      </c>
      <c r="G10" s="2" t="s">
        <v>58</v>
      </c>
      <c r="H10" s="2" t="s">
        <v>59</v>
      </c>
      <c r="I10" s="2" t="s">
        <v>57</v>
      </c>
      <c r="J10" s="2" t="s">
        <v>60</v>
      </c>
      <c r="K10" s="2" t="s">
        <v>65</v>
      </c>
      <c r="L10" s="2" t="s">
        <v>63</v>
      </c>
    </row>
    <row r="11" spans="1:12" x14ac:dyDescent="0.3">
      <c r="A11" s="3">
        <v>69</v>
      </c>
      <c r="B11" s="3">
        <v>57</v>
      </c>
      <c r="C11" s="3">
        <v>56</v>
      </c>
      <c r="D11" s="3">
        <v>55</v>
      </c>
      <c r="E11" s="3">
        <v>48</v>
      </c>
      <c r="F11" s="3">
        <v>47</v>
      </c>
      <c r="G11" s="3">
        <v>39</v>
      </c>
      <c r="H11" s="3">
        <v>39</v>
      </c>
      <c r="I11" s="3">
        <v>34</v>
      </c>
      <c r="J11" s="3">
        <v>26</v>
      </c>
      <c r="K11" s="3">
        <v>21</v>
      </c>
      <c r="L11" s="3">
        <v>19</v>
      </c>
    </row>
    <row r="12" spans="1:12" ht="30" customHeight="1" x14ac:dyDescent="0.3">
      <c r="A12" s="2" t="s">
        <v>61</v>
      </c>
      <c r="B12" s="2" t="s">
        <v>64</v>
      </c>
      <c r="C12" s="2" t="s">
        <v>62</v>
      </c>
      <c r="D12" s="2" t="s">
        <v>66</v>
      </c>
      <c r="E12" s="2" t="s">
        <v>67</v>
      </c>
      <c r="F12" s="2" t="s">
        <v>68</v>
      </c>
      <c r="G12" s="2" t="s">
        <v>70</v>
      </c>
      <c r="H12" s="2" t="s">
        <v>69</v>
      </c>
      <c r="I12" s="2" t="s">
        <v>95</v>
      </c>
      <c r="J12" s="2" t="s">
        <v>96</v>
      </c>
      <c r="K12" s="2" t="s">
        <v>97</v>
      </c>
      <c r="L12" s="2" t="s">
        <v>98</v>
      </c>
    </row>
    <row r="13" spans="1:12" x14ac:dyDescent="0.3">
      <c r="A13" s="3">
        <v>18</v>
      </c>
      <c r="B13" s="3">
        <v>15</v>
      </c>
      <c r="C13" s="3">
        <v>14</v>
      </c>
      <c r="D13" s="3">
        <v>13</v>
      </c>
      <c r="E13" s="3">
        <v>9</v>
      </c>
      <c r="F13" s="3">
        <v>5</v>
      </c>
      <c r="G13" s="3">
        <v>3</v>
      </c>
      <c r="H13" s="3">
        <v>3</v>
      </c>
      <c r="I13" s="3">
        <v>0</v>
      </c>
      <c r="J13" s="3">
        <v>0</v>
      </c>
      <c r="K13" s="3">
        <v>0</v>
      </c>
      <c r="L13" s="3">
        <v>0</v>
      </c>
    </row>
    <row r="14" spans="1:12" ht="29.4" customHeight="1" x14ac:dyDescent="0.3">
      <c r="A14" s="2" t="s">
        <v>99</v>
      </c>
      <c r="B14" s="2" t="s">
        <v>100</v>
      </c>
      <c r="C14" s="2" t="s">
        <v>101</v>
      </c>
      <c r="D14" s="2" t="s">
        <v>102</v>
      </c>
      <c r="E14" s="2" t="s">
        <v>103</v>
      </c>
      <c r="F14" s="2" t="s">
        <v>104</v>
      </c>
      <c r="G14" s="2" t="s">
        <v>105</v>
      </c>
      <c r="H14" s="2" t="s">
        <v>106</v>
      </c>
      <c r="I14" s="2" t="s">
        <v>107</v>
      </c>
      <c r="J14" s="2" t="s">
        <v>108</v>
      </c>
      <c r="K14" s="2" t="s">
        <v>109</v>
      </c>
      <c r="L14" s="2" t="s">
        <v>110</v>
      </c>
    </row>
    <row r="15" spans="1:12" x14ac:dyDescent="0.3">
      <c r="A15" s="3">
        <v>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</row>
    <row r="16" spans="1:12" ht="28.8" customHeight="1" x14ac:dyDescent="0.3">
      <c r="A16" s="2" t="s">
        <v>111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1" x14ac:dyDescent="0.3">
      <c r="A17">
        <v>0</v>
      </c>
    </row>
    <row r="19" spans="1:11" x14ac:dyDescent="0.3">
      <c r="A19" t="s">
        <v>120</v>
      </c>
    </row>
    <row r="21" spans="1:11" x14ac:dyDescent="0.3">
      <c r="A21" s="31" t="s">
        <v>113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</row>
    <row r="22" spans="1:11" x14ac:dyDescent="0.3">
      <c r="A22" s="2" t="s">
        <v>0</v>
      </c>
      <c r="B22" s="2" t="s">
        <v>1</v>
      </c>
      <c r="C22" s="2" t="s">
        <v>3</v>
      </c>
      <c r="D22" s="2" t="s">
        <v>72</v>
      </c>
      <c r="E22" s="2" t="s">
        <v>73</v>
      </c>
      <c r="F22" s="2" t="s">
        <v>74</v>
      </c>
      <c r="G22" s="2" t="s">
        <v>75</v>
      </c>
      <c r="H22" s="2" t="s">
        <v>76</v>
      </c>
      <c r="I22" s="2" t="s">
        <v>77</v>
      </c>
      <c r="J22" s="2" t="s">
        <v>78</v>
      </c>
      <c r="K22" s="2" t="s">
        <v>79</v>
      </c>
    </row>
    <row r="23" spans="1:11" x14ac:dyDescent="0.3">
      <c r="A23" t="s">
        <v>7</v>
      </c>
      <c r="B23">
        <v>221</v>
      </c>
      <c r="C23">
        <v>-0.39458687999999997</v>
      </c>
      <c r="D23">
        <v>0.34561998599999999</v>
      </c>
      <c r="E23">
        <v>-0.53317963999999995</v>
      </c>
      <c r="F23">
        <v>-0.57551123000000004</v>
      </c>
      <c r="G23">
        <v>-0.55507233</v>
      </c>
      <c r="H23">
        <v>0.52976942000000005</v>
      </c>
      <c r="I23">
        <v>0.57711133999999997</v>
      </c>
      <c r="J23">
        <v>-0.50537834000000004</v>
      </c>
      <c r="K23">
        <v>-0.37731388999999999</v>
      </c>
    </row>
    <row r="24" spans="1:11" x14ac:dyDescent="0.3">
      <c r="A24" t="s">
        <v>8</v>
      </c>
      <c r="B24">
        <v>219</v>
      </c>
      <c r="C24" s="8">
        <v>7.9875169999999995E-2</v>
      </c>
      <c r="D24" s="8">
        <v>-0.14286073399999999</v>
      </c>
      <c r="E24">
        <v>-0.39288687</v>
      </c>
      <c r="F24">
        <v>-0.15650553</v>
      </c>
      <c r="G24">
        <v>-0.32031092999999999</v>
      </c>
      <c r="H24">
        <v>3.9914100000000001E-2</v>
      </c>
      <c r="I24">
        <v>0.22057470000000001</v>
      </c>
      <c r="J24">
        <v>-0.50981571999999997</v>
      </c>
      <c r="K24">
        <v>-0.52520323999999996</v>
      </c>
    </row>
    <row r="25" spans="1:11" x14ac:dyDescent="0.3">
      <c r="A25" s="8" t="s">
        <v>18</v>
      </c>
      <c r="B25">
        <v>218</v>
      </c>
      <c r="C25">
        <v>-0.14187472000000001</v>
      </c>
      <c r="D25">
        <v>0.166767781</v>
      </c>
      <c r="E25">
        <v>-0.11114055</v>
      </c>
      <c r="F25">
        <v>-0.17382102999999999</v>
      </c>
      <c r="G25">
        <v>-0.14085897999999999</v>
      </c>
      <c r="H25">
        <v>0.25538820000000001</v>
      </c>
      <c r="I25">
        <v>0.27621805999999999</v>
      </c>
      <c r="J25">
        <v>-0.14714894000000001</v>
      </c>
      <c r="K25">
        <v>-0.11812886</v>
      </c>
    </row>
    <row r="26" spans="1:11" x14ac:dyDescent="0.3">
      <c r="A26" s="8" t="s">
        <v>9</v>
      </c>
      <c r="B26">
        <v>217</v>
      </c>
      <c r="C26" s="8">
        <v>3.0432020000000001E-2</v>
      </c>
      <c r="D26" s="8">
        <v>-3.6058869E-2</v>
      </c>
      <c r="E26">
        <v>-0.31565985000000002</v>
      </c>
      <c r="F26">
        <v>-0.20056399</v>
      </c>
      <c r="G26">
        <v>-0.30683873</v>
      </c>
      <c r="H26">
        <v>0.13347524999999999</v>
      </c>
      <c r="I26">
        <v>0.26110295</v>
      </c>
      <c r="J26">
        <v>-0.39783902999999998</v>
      </c>
      <c r="K26">
        <v>-0.42251403999999998</v>
      </c>
    </row>
    <row r="27" spans="1:11" x14ac:dyDescent="0.3">
      <c r="A27" s="8" t="s">
        <v>19</v>
      </c>
      <c r="B27">
        <v>211</v>
      </c>
      <c r="C27">
        <v>-0.41398369000000002</v>
      </c>
      <c r="D27">
        <v>0.38107204099999997</v>
      </c>
      <c r="E27">
        <v>-0.39063674999999998</v>
      </c>
      <c r="F27">
        <v>-0.42380198000000002</v>
      </c>
      <c r="G27">
        <v>-0.28641104000000001</v>
      </c>
      <c r="H27">
        <v>0.41457790999999999</v>
      </c>
      <c r="I27">
        <v>0.31321267000000003</v>
      </c>
      <c r="J27">
        <v>-0.36381544999999998</v>
      </c>
      <c r="K27">
        <v>-0.21829884999999999</v>
      </c>
    </row>
    <row r="28" spans="1:11" x14ac:dyDescent="0.3">
      <c r="A28" t="s">
        <v>14</v>
      </c>
      <c r="B28">
        <v>207</v>
      </c>
      <c r="C28">
        <v>-0.52451448000000001</v>
      </c>
      <c r="D28">
        <v>0.58519388299999997</v>
      </c>
      <c r="E28">
        <v>-0.49207939000000001</v>
      </c>
      <c r="F28">
        <v>-0.64855598999999997</v>
      </c>
      <c r="G28">
        <v>-0.49896692999999998</v>
      </c>
      <c r="H28">
        <v>0.75207740999999995</v>
      </c>
      <c r="I28">
        <v>0.70956215</v>
      </c>
      <c r="J28">
        <v>-0.38542390999999998</v>
      </c>
      <c r="K28">
        <v>-0.23998971999999999</v>
      </c>
    </row>
    <row r="29" spans="1:11" x14ac:dyDescent="0.3">
      <c r="A29" s="8" t="s">
        <v>20</v>
      </c>
      <c r="B29">
        <v>207</v>
      </c>
      <c r="C29" s="8">
        <v>6.2406580000000003E-2</v>
      </c>
      <c r="D29" s="8">
        <v>-6.9735064999999999E-2</v>
      </c>
      <c r="E29">
        <v>-5.818388E-2</v>
      </c>
      <c r="F29">
        <v>-1.783823E-2</v>
      </c>
      <c r="G29">
        <v>-0.14293507</v>
      </c>
      <c r="H29">
        <v>1.632043E-2</v>
      </c>
      <c r="I29">
        <v>0.12642423</v>
      </c>
      <c r="J29">
        <v>-0.13944703</v>
      </c>
      <c r="K29">
        <v>-0.12029346</v>
      </c>
    </row>
    <row r="30" spans="1:11" x14ac:dyDescent="0.3">
      <c r="A30" t="s">
        <v>21</v>
      </c>
      <c r="B30">
        <v>201</v>
      </c>
      <c r="C30">
        <v>-0.44739691999999998</v>
      </c>
      <c r="D30">
        <v>0.53306262500000001</v>
      </c>
      <c r="E30">
        <v>-0.30108407999999998</v>
      </c>
      <c r="F30">
        <v>-0.54107185999999996</v>
      </c>
      <c r="G30">
        <v>-0.46381512000000003</v>
      </c>
      <c r="H30">
        <v>0.68416098000000003</v>
      </c>
      <c r="I30">
        <v>0.66261133000000005</v>
      </c>
      <c r="J30">
        <v>-0.28678589999999998</v>
      </c>
      <c r="K30">
        <v>-0.16855542000000001</v>
      </c>
    </row>
    <row r="31" spans="1:11" x14ac:dyDescent="0.3">
      <c r="A31" t="s">
        <v>22</v>
      </c>
      <c r="B31">
        <v>193</v>
      </c>
      <c r="C31">
        <v>-0.60008320000000004</v>
      </c>
      <c r="D31">
        <v>0.77851369800000003</v>
      </c>
      <c r="E31">
        <v>-0.43510695999999999</v>
      </c>
      <c r="F31">
        <v>-0.61422284999999999</v>
      </c>
      <c r="G31">
        <v>-0.43667555000000002</v>
      </c>
      <c r="H31">
        <v>0.87526848999999995</v>
      </c>
      <c r="I31">
        <v>0.75027867000000004</v>
      </c>
      <c r="J31">
        <v>-0.37806767000000002</v>
      </c>
      <c r="K31">
        <v>-0.19968509000000001</v>
      </c>
    </row>
    <row r="32" spans="1:11" x14ac:dyDescent="0.3">
      <c r="A32" t="s">
        <v>23</v>
      </c>
      <c r="B32">
        <v>190</v>
      </c>
      <c r="C32">
        <v>-5.3601099999999999E-2</v>
      </c>
      <c r="D32" s="8">
        <v>-3.6138160000000002E-3</v>
      </c>
      <c r="E32">
        <v>-0.39707010999999998</v>
      </c>
      <c r="F32">
        <v>-0.29767758</v>
      </c>
      <c r="G32">
        <v>-0.44108568999999997</v>
      </c>
      <c r="H32">
        <v>0.31723548000000001</v>
      </c>
      <c r="I32">
        <v>0.55162962999999998</v>
      </c>
      <c r="J32">
        <v>-0.52899057000000005</v>
      </c>
      <c r="K32">
        <v>-0.53322287000000002</v>
      </c>
    </row>
    <row r="33" spans="1:11" x14ac:dyDescent="0.3">
      <c r="A33" t="s">
        <v>24</v>
      </c>
      <c r="B33">
        <v>187</v>
      </c>
      <c r="C33">
        <v>-0.49478717</v>
      </c>
      <c r="D33">
        <v>0.54169289399999998</v>
      </c>
      <c r="E33">
        <v>-0.43345319999999998</v>
      </c>
      <c r="F33">
        <v>-0.67119393999999999</v>
      </c>
      <c r="G33">
        <v>-0.58927786999999998</v>
      </c>
      <c r="H33">
        <v>0.81895412999999995</v>
      </c>
      <c r="I33">
        <v>0.87874589000000003</v>
      </c>
      <c r="J33">
        <v>-0.41790302000000001</v>
      </c>
      <c r="K33">
        <v>-0.27933607999999999</v>
      </c>
    </row>
    <row r="34" spans="1:11" x14ac:dyDescent="0.3">
      <c r="A34" t="s">
        <v>17</v>
      </c>
      <c r="B34">
        <v>186</v>
      </c>
      <c r="C34">
        <v>-0.25139260000000002</v>
      </c>
      <c r="D34">
        <v>0.19880864300000001</v>
      </c>
      <c r="E34">
        <v>-0.40797710999999998</v>
      </c>
      <c r="F34">
        <v>-0.39853670000000002</v>
      </c>
      <c r="G34">
        <v>-0.41028664999999997</v>
      </c>
      <c r="H34">
        <v>0.36513152999999998</v>
      </c>
      <c r="I34">
        <v>0.44138545000000001</v>
      </c>
      <c r="J34">
        <v>-0.47259343999999998</v>
      </c>
      <c r="K34">
        <v>-0.40545997</v>
      </c>
    </row>
    <row r="35" spans="1:11" x14ac:dyDescent="0.3">
      <c r="A35" t="s">
        <v>34</v>
      </c>
      <c r="B35">
        <v>184</v>
      </c>
      <c r="C35">
        <v>-0.23888380000000001</v>
      </c>
      <c r="D35">
        <v>0.22880948200000001</v>
      </c>
      <c r="E35">
        <v>-0.27433808999999998</v>
      </c>
      <c r="F35">
        <v>-0.50920405000000002</v>
      </c>
      <c r="G35">
        <v>-0.62400948999999994</v>
      </c>
      <c r="H35">
        <v>0.59508804999999998</v>
      </c>
      <c r="I35">
        <v>0.79768393000000004</v>
      </c>
      <c r="J35">
        <v>-0.38260306999999999</v>
      </c>
      <c r="K35">
        <v>-0.36582375</v>
      </c>
    </row>
    <row r="36" spans="1:11" x14ac:dyDescent="0.3">
      <c r="A36" t="s">
        <v>16</v>
      </c>
      <c r="B36">
        <v>179</v>
      </c>
      <c r="C36">
        <v>-8.1680530000000001E-2</v>
      </c>
      <c r="D36">
        <v>0.14475380800000001</v>
      </c>
      <c r="E36">
        <v>-0.26458649000000001</v>
      </c>
      <c r="F36">
        <v>-0.39247356</v>
      </c>
      <c r="G36">
        <v>-0.48241063000000001</v>
      </c>
      <c r="H36">
        <v>0.48955040999999999</v>
      </c>
      <c r="I36">
        <v>0.68802496000000002</v>
      </c>
      <c r="J36">
        <v>-0.36134729999999998</v>
      </c>
      <c r="K36">
        <v>-0.31865862</v>
      </c>
    </row>
    <row r="37" spans="1:11" x14ac:dyDescent="0.3">
      <c r="A37" t="s">
        <v>12</v>
      </c>
      <c r="B37">
        <v>178</v>
      </c>
      <c r="C37">
        <v>-0.19285870999999999</v>
      </c>
      <c r="D37">
        <v>0.121830444</v>
      </c>
      <c r="E37">
        <v>-0.45133105000000001</v>
      </c>
      <c r="F37">
        <v>-0.52641267000000003</v>
      </c>
      <c r="G37">
        <v>-0.63243316000000005</v>
      </c>
      <c r="H37">
        <v>0.47159467999999999</v>
      </c>
      <c r="I37">
        <v>0.68404746000000005</v>
      </c>
      <c r="J37">
        <v>-0.51930712999999995</v>
      </c>
      <c r="K37">
        <v>-0.40867044000000002</v>
      </c>
    </row>
    <row r="38" spans="1:11" x14ac:dyDescent="0.3">
      <c r="A38" t="s">
        <v>35</v>
      </c>
      <c r="B38">
        <v>176</v>
      </c>
      <c r="C38">
        <v>-0.23590469</v>
      </c>
      <c r="D38">
        <v>0.133251226</v>
      </c>
      <c r="E38">
        <v>-0.28225688999999998</v>
      </c>
      <c r="F38">
        <v>-0.49087762000000001</v>
      </c>
      <c r="G38">
        <v>-0.51188433</v>
      </c>
      <c r="H38">
        <v>0.455067</v>
      </c>
      <c r="I38">
        <v>0.61557645999999999</v>
      </c>
      <c r="J38">
        <v>-0.31376576</v>
      </c>
      <c r="K38">
        <v>-0.30362233999999999</v>
      </c>
    </row>
    <row r="39" spans="1:11" x14ac:dyDescent="0.3">
      <c r="A39" t="s">
        <v>36</v>
      </c>
      <c r="B39">
        <v>169</v>
      </c>
      <c r="C39">
        <v>-0.47065642000000002</v>
      </c>
      <c r="D39">
        <v>0.54734344700000004</v>
      </c>
      <c r="E39">
        <v>-0.29277767999999998</v>
      </c>
      <c r="F39">
        <v>-0.54729570000000005</v>
      </c>
      <c r="G39">
        <v>-0.45577378000000002</v>
      </c>
      <c r="H39">
        <v>0.67097801999999995</v>
      </c>
      <c r="I39">
        <v>0.61094683999999999</v>
      </c>
      <c r="J39">
        <v>-0.28407027000000001</v>
      </c>
      <c r="K39">
        <v>-0.17981847000000001</v>
      </c>
    </row>
    <row r="40" spans="1:11" x14ac:dyDescent="0.3">
      <c r="A40" t="s">
        <v>11</v>
      </c>
      <c r="B40">
        <v>168</v>
      </c>
      <c r="C40">
        <v>-0.27276265999999999</v>
      </c>
      <c r="D40">
        <v>0.29299586300000002</v>
      </c>
      <c r="E40">
        <v>-0.22360747</v>
      </c>
      <c r="F40">
        <v>-0.48349587999999999</v>
      </c>
      <c r="G40">
        <v>-0.54452009999999995</v>
      </c>
      <c r="H40">
        <v>0.62581732000000001</v>
      </c>
      <c r="I40">
        <v>0.77693745000000003</v>
      </c>
      <c r="J40">
        <v>-0.32045085000000001</v>
      </c>
      <c r="K40">
        <v>-0.33731802</v>
      </c>
    </row>
    <row r="41" spans="1:11" x14ac:dyDescent="0.3">
      <c r="A41" t="s">
        <v>33</v>
      </c>
      <c r="B41">
        <v>165</v>
      </c>
      <c r="C41">
        <v>-0.42041221000000001</v>
      </c>
      <c r="D41">
        <v>0.50901479500000002</v>
      </c>
      <c r="E41">
        <v>-0.54336552000000005</v>
      </c>
      <c r="F41">
        <v>-0.58711413999999995</v>
      </c>
      <c r="G41">
        <v>-0.55609843000000003</v>
      </c>
      <c r="H41">
        <v>0.75117697999999999</v>
      </c>
      <c r="I41">
        <v>0.80226359999999997</v>
      </c>
      <c r="J41">
        <v>-0.57245997999999998</v>
      </c>
      <c r="K41">
        <v>-0.47081036999999998</v>
      </c>
    </row>
    <row r="42" spans="1:11" x14ac:dyDescent="0.3">
      <c r="A42" t="s">
        <v>10</v>
      </c>
      <c r="B42">
        <v>164</v>
      </c>
      <c r="C42">
        <v>-0.33811763</v>
      </c>
      <c r="D42">
        <v>0.32246312999999999</v>
      </c>
      <c r="E42">
        <v>-0.35129881000000002</v>
      </c>
      <c r="F42">
        <v>-0.52194185000000004</v>
      </c>
      <c r="G42">
        <v>-0.55865067999999996</v>
      </c>
      <c r="H42">
        <v>0.62259432999999997</v>
      </c>
      <c r="I42">
        <v>0.77511107000000001</v>
      </c>
      <c r="J42">
        <v>-0.41474112000000002</v>
      </c>
      <c r="K42">
        <v>-0.40899371000000001</v>
      </c>
    </row>
    <row r="43" spans="1:11" x14ac:dyDescent="0.3">
      <c r="A43" s="8" t="s">
        <v>13</v>
      </c>
      <c r="B43">
        <v>164</v>
      </c>
      <c r="C43">
        <v>-0.25153153</v>
      </c>
      <c r="D43">
        <v>0.247014714</v>
      </c>
      <c r="E43">
        <v>-0.15310583999999999</v>
      </c>
      <c r="F43">
        <v>-0.38376339999999998</v>
      </c>
      <c r="G43">
        <v>-0.27204358000000001</v>
      </c>
      <c r="H43">
        <v>0.38045194999999998</v>
      </c>
      <c r="I43">
        <v>0.41453430000000002</v>
      </c>
      <c r="J43">
        <v>-0.12863361000000001</v>
      </c>
      <c r="K43">
        <v>-8.0471689999999998E-2</v>
      </c>
    </row>
    <row r="44" spans="1:11" x14ac:dyDescent="0.3">
      <c r="A44" s="8" t="s">
        <v>37</v>
      </c>
      <c r="B44">
        <v>153</v>
      </c>
      <c r="C44">
        <v>-5.251186E-2</v>
      </c>
      <c r="D44">
        <v>0.129927984</v>
      </c>
      <c r="E44">
        <v>-5.9149680000000003E-2</v>
      </c>
      <c r="F44">
        <v>-5.5312769999999997E-2</v>
      </c>
      <c r="G44">
        <v>-1.1874010000000001E-2</v>
      </c>
      <c r="H44">
        <v>0.14427247000000001</v>
      </c>
      <c r="I44">
        <v>0.12649526999999999</v>
      </c>
      <c r="J44">
        <v>-4.2286240000000003E-2</v>
      </c>
      <c r="K44">
        <v>-0.10100948999999999</v>
      </c>
    </row>
    <row r="45" spans="1:11" x14ac:dyDescent="0.3">
      <c r="A45" t="s">
        <v>39</v>
      </c>
      <c r="B45">
        <v>141</v>
      </c>
      <c r="C45" s="8">
        <v>0.11798425999999999</v>
      </c>
      <c r="D45" s="8">
        <v>-0.27095891700000002</v>
      </c>
      <c r="E45">
        <v>-0.25147515999999998</v>
      </c>
      <c r="F45">
        <v>-8.7577940000000007E-2</v>
      </c>
      <c r="G45">
        <v>-0.19012733000000001</v>
      </c>
      <c r="H45">
        <v>-0.11067074</v>
      </c>
      <c r="I45">
        <v>7.7916819999999998E-2</v>
      </c>
      <c r="J45">
        <v>-0.39284429999999998</v>
      </c>
      <c r="K45">
        <v>-0.52793952</v>
      </c>
    </row>
    <row r="46" spans="1:11" x14ac:dyDescent="0.3">
      <c r="A46" t="s">
        <v>15</v>
      </c>
      <c r="B46">
        <v>136</v>
      </c>
      <c r="C46">
        <v>-0.43785541</v>
      </c>
      <c r="D46">
        <v>0.32800259599999998</v>
      </c>
      <c r="E46">
        <v>-0.49999939999999998</v>
      </c>
      <c r="F46">
        <v>-0.63529961000000001</v>
      </c>
      <c r="G46">
        <v>-0.61011711999999996</v>
      </c>
      <c r="H46">
        <v>0.61579804000000005</v>
      </c>
      <c r="I46">
        <v>0.73315021000000002</v>
      </c>
      <c r="J46">
        <v>-0.41786527000000001</v>
      </c>
      <c r="K46">
        <v>-0.32749887</v>
      </c>
    </row>
    <row r="47" spans="1:11" x14ac:dyDescent="0.3">
      <c r="A47" t="s">
        <v>42</v>
      </c>
      <c r="B47">
        <v>126</v>
      </c>
      <c r="C47">
        <v>-0.42484855999999999</v>
      </c>
      <c r="D47">
        <v>0.49169702999999998</v>
      </c>
      <c r="E47">
        <v>-0.29436514000000003</v>
      </c>
      <c r="F47">
        <v>-0.51338351000000004</v>
      </c>
      <c r="G47">
        <v>-0.47391349999999999</v>
      </c>
      <c r="H47">
        <v>0.67719132000000004</v>
      </c>
      <c r="I47">
        <v>0.70394036000000004</v>
      </c>
      <c r="J47">
        <v>-0.32134875000000002</v>
      </c>
      <c r="K47">
        <v>-0.26213983000000002</v>
      </c>
    </row>
    <row r="48" spans="1:11" x14ac:dyDescent="0.3">
      <c r="A48" s="8" t="s">
        <v>47</v>
      </c>
      <c r="B48">
        <v>116</v>
      </c>
      <c r="C48">
        <v>-1.9060460000000001E-2</v>
      </c>
      <c r="D48" s="8">
        <v>-0.137761149</v>
      </c>
      <c r="E48">
        <v>-6.6652550000000005E-2</v>
      </c>
      <c r="F48">
        <v>-9.3559950000000003E-2</v>
      </c>
      <c r="G48">
        <v>-0.15671098</v>
      </c>
      <c r="H48">
        <v>-1.224922E-2</v>
      </c>
      <c r="I48">
        <v>8.9261809999999997E-2</v>
      </c>
      <c r="J48">
        <v>-4.474848E-2</v>
      </c>
      <c r="K48">
        <v>-4.8502990000000003E-2</v>
      </c>
    </row>
    <row r="49" spans="1:11" x14ac:dyDescent="0.3">
      <c r="A49" t="s">
        <v>40</v>
      </c>
      <c r="B49">
        <v>109</v>
      </c>
      <c r="C49">
        <v>-8.3949629999999997E-2</v>
      </c>
      <c r="D49" s="8">
        <v>-6.6324982000000005E-2</v>
      </c>
      <c r="E49">
        <v>-0.17146948000000001</v>
      </c>
      <c r="F49">
        <v>-0.27118482999999999</v>
      </c>
      <c r="G49">
        <v>-0.36937745</v>
      </c>
      <c r="H49">
        <v>0.25981089000000002</v>
      </c>
      <c r="I49">
        <v>0.49563123999999997</v>
      </c>
      <c r="J49">
        <v>-0.24419121999999999</v>
      </c>
      <c r="K49">
        <v>-0.30018444</v>
      </c>
    </row>
    <row r="50" spans="1:11" x14ac:dyDescent="0.3">
      <c r="A50" t="s">
        <v>38</v>
      </c>
      <c r="B50">
        <v>102</v>
      </c>
      <c r="C50">
        <v>-0.25717851000000003</v>
      </c>
      <c r="D50">
        <v>0.28671358400000002</v>
      </c>
      <c r="E50">
        <v>-0.42654739000000003</v>
      </c>
      <c r="F50">
        <v>-0.35425664000000001</v>
      </c>
      <c r="G50">
        <v>-0.3773108</v>
      </c>
      <c r="H50">
        <v>0.38669181000000002</v>
      </c>
      <c r="I50">
        <v>0.37155936000000001</v>
      </c>
      <c r="J50">
        <v>-0.49380649999999998</v>
      </c>
      <c r="K50">
        <v>-0.37539337</v>
      </c>
    </row>
    <row r="53" spans="1:11" x14ac:dyDescent="0.3">
      <c r="A53" s="32" t="s">
        <v>112</v>
      </c>
      <c r="B53" s="32"/>
      <c r="C53" s="32"/>
      <c r="D53" s="32"/>
      <c r="E53" s="32"/>
      <c r="F53" s="32"/>
      <c r="G53" s="32"/>
      <c r="H53" s="32"/>
      <c r="I53" s="32"/>
      <c r="J53" s="32"/>
      <c r="K53" s="32"/>
    </row>
    <row r="54" spans="1:11" x14ac:dyDescent="0.3">
      <c r="A54" s="2" t="s">
        <v>0</v>
      </c>
      <c r="B54" s="2" t="s">
        <v>1</v>
      </c>
      <c r="C54" s="2" t="s">
        <v>3</v>
      </c>
      <c r="D54" s="2" t="s">
        <v>72</v>
      </c>
      <c r="E54" s="2" t="s">
        <v>73</v>
      </c>
      <c r="F54" s="2" t="s">
        <v>74</v>
      </c>
      <c r="G54" s="2" t="s">
        <v>75</v>
      </c>
      <c r="H54" s="2" t="s">
        <v>76</v>
      </c>
      <c r="I54" s="2" t="s">
        <v>77</v>
      </c>
      <c r="J54" s="2" t="s">
        <v>78</v>
      </c>
      <c r="K54" s="2" t="s">
        <v>79</v>
      </c>
    </row>
    <row r="55" spans="1:11" x14ac:dyDescent="0.3">
      <c r="A55" t="s">
        <v>7</v>
      </c>
      <c r="B55">
        <v>221</v>
      </c>
      <c r="C55">
        <v>-0.36435182300000002</v>
      </c>
      <c r="D55">
        <v>0.29172956</v>
      </c>
      <c r="E55">
        <v>-0.39830015000000002</v>
      </c>
      <c r="F55">
        <v>-0.52896979740000005</v>
      </c>
      <c r="G55">
        <v>-0.51165773000000003</v>
      </c>
      <c r="H55">
        <v>0.47403530999999999</v>
      </c>
      <c r="I55">
        <v>0.53216317000000002</v>
      </c>
      <c r="J55">
        <v>-0.36940603</v>
      </c>
      <c r="K55">
        <v>-0.29667490000000002</v>
      </c>
    </row>
    <row r="56" spans="1:11" x14ac:dyDescent="0.3">
      <c r="A56" t="s">
        <v>8</v>
      </c>
      <c r="B56">
        <v>219</v>
      </c>
      <c r="C56" s="8">
        <v>5.6098033999999998E-2</v>
      </c>
      <c r="D56" s="8">
        <v>-0.13325564000000001</v>
      </c>
      <c r="E56">
        <v>-0.37649744000000002</v>
      </c>
      <c r="F56">
        <v>-0.19580443489999999</v>
      </c>
      <c r="G56">
        <v>-0.36313083000000002</v>
      </c>
      <c r="H56">
        <v>5.402067E-2</v>
      </c>
      <c r="I56">
        <v>0.23631163999999999</v>
      </c>
      <c r="J56">
        <v>-0.49020229999999998</v>
      </c>
      <c r="K56">
        <v>-0.49377889000000003</v>
      </c>
    </row>
    <row r="57" spans="1:11" x14ac:dyDescent="0.3">
      <c r="A57" s="8" t="s">
        <v>18</v>
      </c>
      <c r="B57">
        <v>218</v>
      </c>
      <c r="C57">
        <v>-9.0192495999999997E-2</v>
      </c>
      <c r="D57">
        <v>0.16562938999999999</v>
      </c>
      <c r="E57">
        <v>-4.4093790000000001E-2</v>
      </c>
      <c r="F57">
        <v>-0.1013160382</v>
      </c>
      <c r="G57">
        <v>-8.3104670000000005E-2</v>
      </c>
      <c r="H57">
        <v>0.25799896</v>
      </c>
      <c r="I57">
        <v>0.27798666</v>
      </c>
      <c r="J57">
        <v>-6.6132590000000005E-2</v>
      </c>
      <c r="K57">
        <v>-8.8600830000000005E-2</v>
      </c>
    </row>
    <row r="58" spans="1:11" x14ac:dyDescent="0.3">
      <c r="A58" s="8" t="s">
        <v>9</v>
      </c>
      <c r="B58">
        <v>217</v>
      </c>
      <c r="C58" s="8">
        <v>4.0933009999999999E-2</v>
      </c>
      <c r="D58" s="8">
        <v>-5.2060389999999998E-2</v>
      </c>
      <c r="E58">
        <v>-0.14769689999999999</v>
      </c>
      <c r="F58">
        <v>-0.17437424309999999</v>
      </c>
      <c r="G58">
        <v>-0.28289120000000001</v>
      </c>
      <c r="H58">
        <v>9.0150969999999997E-2</v>
      </c>
      <c r="I58">
        <v>0.20498458</v>
      </c>
      <c r="J58">
        <v>-0.28074811999999999</v>
      </c>
      <c r="K58">
        <v>-0.29853575999999998</v>
      </c>
    </row>
    <row r="59" spans="1:11" x14ac:dyDescent="0.3">
      <c r="A59" s="8" t="s">
        <v>19</v>
      </c>
      <c r="B59">
        <v>211</v>
      </c>
      <c r="C59">
        <v>-0.19987545300000001</v>
      </c>
      <c r="D59">
        <v>0.25616371999999998</v>
      </c>
      <c r="E59">
        <v>-0.22787468</v>
      </c>
      <c r="F59">
        <v>-0.26005808819999998</v>
      </c>
      <c r="G59">
        <v>-0.20942970999999999</v>
      </c>
      <c r="H59">
        <v>0.28973631999999999</v>
      </c>
      <c r="I59">
        <v>0.23133161999999999</v>
      </c>
      <c r="J59">
        <v>-0.23886262</v>
      </c>
      <c r="K59">
        <v>-0.19403914</v>
      </c>
    </row>
    <row r="60" spans="1:11" x14ac:dyDescent="0.3">
      <c r="A60" t="s">
        <v>14</v>
      </c>
      <c r="B60">
        <v>207</v>
      </c>
      <c r="C60">
        <v>-0.41422975299999998</v>
      </c>
      <c r="D60">
        <v>0.55260595000000001</v>
      </c>
      <c r="E60">
        <v>-0.29670447999999999</v>
      </c>
      <c r="F60">
        <v>-0.56113465169999999</v>
      </c>
      <c r="G60">
        <v>-0.43867666999999999</v>
      </c>
      <c r="H60">
        <v>0.73726440999999998</v>
      </c>
      <c r="I60">
        <v>0.71037371000000005</v>
      </c>
      <c r="J60">
        <v>-0.29718340999999998</v>
      </c>
      <c r="K60">
        <v>-0.10106234</v>
      </c>
    </row>
    <row r="61" spans="1:11" x14ac:dyDescent="0.3">
      <c r="A61" s="8" t="s">
        <v>20</v>
      </c>
      <c r="B61">
        <v>207</v>
      </c>
      <c r="C61" s="8">
        <v>4.3213599999999998E-2</v>
      </c>
      <c r="D61" s="8">
        <v>-7.6378039999999994E-2</v>
      </c>
      <c r="E61">
        <v>-8.6502010000000004E-2</v>
      </c>
      <c r="F61">
        <v>-1.0381050500000001E-2</v>
      </c>
      <c r="G61">
        <v>-0.12306350000000001</v>
      </c>
      <c r="H61">
        <v>1.7955180000000001E-2</v>
      </c>
      <c r="I61">
        <v>0.12178288</v>
      </c>
      <c r="J61">
        <v>-9.1271099999999994E-2</v>
      </c>
      <c r="K61">
        <v>-0.13352046000000001</v>
      </c>
    </row>
    <row r="62" spans="1:11" x14ac:dyDescent="0.3">
      <c r="A62" t="s">
        <v>21</v>
      </c>
      <c r="B62">
        <v>201</v>
      </c>
      <c r="C62">
        <v>-0.361885238</v>
      </c>
      <c r="D62">
        <v>0.51963011000000003</v>
      </c>
      <c r="E62">
        <v>-0.3229224</v>
      </c>
      <c r="F62">
        <v>-0.46415588070000002</v>
      </c>
      <c r="G62">
        <v>-0.40125624999999998</v>
      </c>
      <c r="H62">
        <v>0.67475735999999997</v>
      </c>
      <c r="I62">
        <v>0.65782647999999999</v>
      </c>
      <c r="J62">
        <v>-0.31465558999999999</v>
      </c>
      <c r="K62">
        <v>-0.25998426000000002</v>
      </c>
    </row>
    <row r="63" spans="1:11" x14ac:dyDescent="0.3">
      <c r="A63" t="s">
        <v>22</v>
      </c>
      <c r="B63">
        <v>193</v>
      </c>
      <c r="C63">
        <v>-0.52272753900000002</v>
      </c>
      <c r="D63">
        <v>0.78680019999999995</v>
      </c>
      <c r="E63">
        <v>-0.36561581999999998</v>
      </c>
      <c r="F63">
        <v>-0.52134895270000003</v>
      </c>
      <c r="G63">
        <v>-0.34999578999999997</v>
      </c>
      <c r="H63">
        <v>0.83951507999999997</v>
      </c>
      <c r="I63">
        <v>0.68520517999999997</v>
      </c>
      <c r="J63">
        <v>-0.33384204000000001</v>
      </c>
      <c r="K63">
        <v>-0.19977111</v>
      </c>
    </row>
    <row r="64" spans="1:11" x14ac:dyDescent="0.3">
      <c r="A64" t="s">
        <v>23</v>
      </c>
      <c r="B64">
        <v>190</v>
      </c>
      <c r="C64">
        <v>-6.3993869999999994E-2</v>
      </c>
      <c r="D64">
        <v>7.4269760000000004E-2</v>
      </c>
      <c r="E64">
        <v>-0.47170472000000002</v>
      </c>
      <c r="F64">
        <v>-0.30205633009999999</v>
      </c>
      <c r="G64">
        <v>-0.48890909999999999</v>
      </c>
      <c r="H64">
        <v>0.34341697999999998</v>
      </c>
      <c r="I64">
        <v>0.54311708000000003</v>
      </c>
      <c r="J64">
        <v>-0.60839962000000003</v>
      </c>
      <c r="K64">
        <v>-0.61509577000000004</v>
      </c>
    </row>
    <row r="65" spans="1:11" x14ac:dyDescent="0.3">
      <c r="A65" t="s">
        <v>24</v>
      </c>
      <c r="B65">
        <v>187</v>
      </c>
      <c r="C65">
        <v>-0.40635138100000001</v>
      </c>
      <c r="D65">
        <v>0.57476439000000001</v>
      </c>
      <c r="E65">
        <v>-0.31324200000000002</v>
      </c>
      <c r="F65">
        <v>-0.58746543819999997</v>
      </c>
      <c r="G65">
        <v>-0.52532062000000002</v>
      </c>
      <c r="H65">
        <v>0.84558688999999998</v>
      </c>
      <c r="I65">
        <v>0.87783133000000002</v>
      </c>
      <c r="J65">
        <v>-0.31158659999999999</v>
      </c>
      <c r="K65">
        <v>-0.27158058000000002</v>
      </c>
    </row>
    <row r="66" spans="1:11" x14ac:dyDescent="0.3">
      <c r="A66" t="s">
        <v>17</v>
      </c>
      <c r="B66">
        <v>186</v>
      </c>
      <c r="C66">
        <v>-0.243052663</v>
      </c>
      <c r="D66">
        <v>0.23803381000000001</v>
      </c>
      <c r="E66">
        <v>-0.40065052000000001</v>
      </c>
      <c r="F66">
        <v>-0.44403506999999998</v>
      </c>
      <c r="G66">
        <v>-0.44178971</v>
      </c>
      <c r="H66">
        <v>0.41125590000000001</v>
      </c>
      <c r="I66">
        <v>0.47322899000000002</v>
      </c>
      <c r="J66">
        <v>-0.45572425999999999</v>
      </c>
      <c r="K66">
        <v>-0.32496051999999997</v>
      </c>
    </row>
    <row r="67" spans="1:11" x14ac:dyDescent="0.3">
      <c r="A67" t="s">
        <v>34</v>
      </c>
      <c r="B67">
        <v>184</v>
      </c>
      <c r="C67">
        <v>-0.144857031</v>
      </c>
      <c r="D67">
        <v>0.23187806999999999</v>
      </c>
      <c r="E67">
        <v>-0.20598859999999999</v>
      </c>
      <c r="F67">
        <v>-0.42051961300000001</v>
      </c>
      <c r="G67">
        <v>-0.53593942999999999</v>
      </c>
      <c r="H67">
        <v>0.60874550999999999</v>
      </c>
      <c r="I67">
        <v>0.81121617999999995</v>
      </c>
      <c r="J67">
        <v>-0.28805876000000002</v>
      </c>
      <c r="K67">
        <v>-0.28540455999999997</v>
      </c>
    </row>
    <row r="68" spans="1:11" x14ac:dyDescent="0.3">
      <c r="A68" t="s">
        <v>16</v>
      </c>
      <c r="B68">
        <v>179</v>
      </c>
      <c r="C68">
        <v>-4.5199683999999997E-2</v>
      </c>
      <c r="D68">
        <v>0.15518918000000001</v>
      </c>
      <c r="E68">
        <v>-8.4982870000000002E-2</v>
      </c>
      <c r="F68">
        <v>-0.34281244960000001</v>
      </c>
      <c r="G68">
        <v>-0.40859791000000001</v>
      </c>
      <c r="H68">
        <v>0.50282550000000004</v>
      </c>
      <c r="I68">
        <v>0.69294306999999999</v>
      </c>
      <c r="J68">
        <v>-0.15289484</v>
      </c>
      <c r="K68">
        <v>-0.15150158</v>
      </c>
    </row>
    <row r="69" spans="1:11" x14ac:dyDescent="0.3">
      <c r="A69" t="s">
        <v>12</v>
      </c>
      <c r="B69">
        <v>178</v>
      </c>
      <c r="C69">
        <v>-0.16460925600000001</v>
      </c>
      <c r="D69">
        <v>0.12048082</v>
      </c>
      <c r="E69">
        <v>-0.35642966999999998</v>
      </c>
      <c r="F69">
        <v>-0.53262511909999999</v>
      </c>
      <c r="G69">
        <v>-0.56787860999999995</v>
      </c>
      <c r="H69">
        <v>0.45060103000000001</v>
      </c>
      <c r="I69">
        <v>0.65674513000000001</v>
      </c>
      <c r="J69">
        <v>-0.39277610000000002</v>
      </c>
      <c r="K69">
        <v>-0.30873846999999999</v>
      </c>
    </row>
    <row r="70" spans="1:11" x14ac:dyDescent="0.3">
      <c r="A70" t="s">
        <v>35</v>
      </c>
      <c r="B70">
        <v>176</v>
      </c>
      <c r="C70">
        <v>-0.16835282600000001</v>
      </c>
      <c r="D70">
        <v>6.7553199999999994E-2</v>
      </c>
      <c r="E70">
        <v>-0.20508636</v>
      </c>
      <c r="F70">
        <v>-0.36738109320000001</v>
      </c>
      <c r="G70">
        <v>-0.36834045999999998</v>
      </c>
      <c r="H70">
        <v>0.35794619</v>
      </c>
      <c r="I70">
        <v>0.52991896000000005</v>
      </c>
      <c r="J70">
        <v>-0.25766166000000001</v>
      </c>
      <c r="K70">
        <v>-0.27381527999999999</v>
      </c>
    </row>
    <row r="71" spans="1:11" x14ac:dyDescent="0.3">
      <c r="A71" t="s">
        <v>36</v>
      </c>
      <c r="B71">
        <v>169</v>
      </c>
      <c r="C71">
        <v>-0.418335607</v>
      </c>
      <c r="D71">
        <v>0.53778408</v>
      </c>
      <c r="E71">
        <v>-0.20986504</v>
      </c>
      <c r="F71">
        <v>-0.38533529119999999</v>
      </c>
      <c r="G71">
        <v>-0.32338802999999999</v>
      </c>
      <c r="H71">
        <v>0.62776865999999998</v>
      </c>
      <c r="I71">
        <v>0.53623005000000001</v>
      </c>
      <c r="J71">
        <v>-0.22904638999999999</v>
      </c>
      <c r="K71">
        <v>-0.19590138000000001</v>
      </c>
    </row>
    <row r="72" spans="1:11" x14ac:dyDescent="0.3">
      <c r="A72" t="s">
        <v>11</v>
      </c>
      <c r="B72">
        <v>168</v>
      </c>
      <c r="C72">
        <v>-0.215465084</v>
      </c>
      <c r="D72">
        <v>0.34564039000000002</v>
      </c>
      <c r="E72">
        <v>-0.15014406999999999</v>
      </c>
      <c r="F72">
        <v>-0.37930182690000003</v>
      </c>
      <c r="G72">
        <v>-0.44989315000000002</v>
      </c>
      <c r="H72">
        <v>0.68545705999999995</v>
      </c>
      <c r="I72">
        <v>0.81670657000000002</v>
      </c>
      <c r="J72">
        <v>-0.22816137</v>
      </c>
      <c r="K72">
        <v>-0.27790225000000002</v>
      </c>
    </row>
    <row r="73" spans="1:11" x14ac:dyDescent="0.3">
      <c r="A73" t="s">
        <v>33</v>
      </c>
      <c r="B73">
        <v>165</v>
      </c>
      <c r="C73">
        <v>-0.33413345999999999</v>
      </c>
      <c r="D73">
        <v>0.50191156000000003</v>
      </c>
      <c r="E73">
        <v>-0.46423903999999999</v>
      </c>
      <c r="F73">
        <v>-0.51945576910000002</v>
      </c>
      <c r="G73">
        <v>-0.51135001000000002</v>
      </c>
      <c r="H73">
        <v>0.74879222000000001</v>
      </c>
      <c r="I73">
        <v>0.79710197999999999</v>
      </c>
      <c r="J73">
        <v>-0.50357711999999999</v>
      </c>
      <c r="K73">
        <v>-0.43384430000000002</v>
      </c>
    </row>
    <row r="74" spans="1:11" x14ac:dyDescent="0.3">
      <c r="A74" t="s">
        <v>10</v>
      </c>
      <c r="B74">
        <v>164</v>
      </c>
      <c r="C74">
        <v>-0.265511575</v>
      </c>
      <c r="D74">
        <v>0.39197029999999999</v>
      </c>
      <c r="E74">
        <v>-0.25678978000000002</v>
      </c>
      <c r="F74">
        <v>-0.43193091649999998</v>
      </c>
      <c r="G74">
        <v>-0.48160887000000002</v>
      </c>
      <c r="H74">
        <v>0.69732804999999998</v>
      </c>
      <c r="I74">
        <v>0.82664101000000001</v>
      </c>
      <c r="J74">
        <v>-0.30784981</v>
      </c>
      <c r="K74">
        <v>-0.34555212000000002</v>
      </c>
    </row>
    <row r="75" spans="1:11" x14ac:dyDescent="0.3">
      <c r="A75" s="8" t="s">
        <v>13</v>
      </c>
      <c r="B75">
        <v>164</v>
      </c>
      <c r="C75">
        <v>-0.134174034</v>
      </c>
      <c r="D75">
        <v>0.11582452</v>
      </c>
      <c r="E75">
        <v>-8.9531830000000007E-2</v>
      </c>
      <c r="F75">
        <v>-0.19188983909999999</v>
      </c>
      <c r="G75">
        <v>-0.13164243</v>
      </c>
      <c r="H75">
        <v>0.19651515999999999</v>
      </c>
      <c r="I75">
        <v>0.21217986</v>
      </c>
      <c r="J75">
        <v>-0.10189548</v>
      </c>
      <c r="K75">
        <v>-5.756443E-2</v>
      </c>
    </row>
    <row r="76" spans="1:11" x14ac:dyDescent="0.3">
      <c r="A76" s="8" t="s">
        <v>37</v>
      </c>
      <c r="B76">
        <v>153</v>
      </c>
      <c r="C76">
        <v>-4.8392010999999999E-2</v>
      </c>
      <c r="D76">
        <v>7.2019399999999997E-2</v>
      </c>
      <c r="E76">
        <v>-0.13065542999999999</v>
      </c>
      <c r="F76" s="8">
        <v>2.4272209999999999E-4</v>
      </c>
      <c r="G76" s="8">
        <v>1.152182E-2</v>
      </c>
      <c r="H76">
        <v>9.0351909999999994E-2</v>
      </c>
      <c r="I76">
        <v>7.0549490000000006E-2</v>
      </c>
      <c r="J76">
        <v>-5.3442379999999998E-2</v>
      </c>
      <c r="K76">
        <v>-0.11587117</v>
      </c>
    </row>
    <row r="77" spans="1:11" x14ac:dyDescent="0.3">
      <c r="A77" t="s">
        <v>39</v>
      </c>
      <c r="B77">
        <v>141</v>
      </c>
      <c r="C77" s="8">
        <v>0.15400786499999999</v>
      </c>
      <c r="D77" s="8">
        <v>-0.30637198999999998</v>
      </c>
      <c r="E77">
        <v>-0.12254540999999999</v>
      </c>
      <c r="F77">
        <v>-0.1263218002</v>
      </c>
      <c r="G77">
        <v>-0.18087613999999999</v>
      </c>
      <c r="H77" s="8">
        <v>-0.14950622999999999</v>
      </c>
      <c r="I77">
        <v>4.4304129999999997E-2</v>
      </c>
      <c r="J77">
        <v>-0.26415529999999998</v>
      </c>
      <c r="K77">
        <v>-0.3751138</v>
      </c>
    </row>
    <row r="78" spans="1:11" x14ac:dyDescent="0.3">
      <c r="A78" t="s">
        <v>15</v>
      </c>
      <c r="B78">
        <v>136</v>
      </c>
      <c r="C78">
        <v>-0.38434974799999999</v>
      </c>
      <c r="D78">
        <v>0.29518195000000003</v>
      </c>
      <c r="E78">
        <v>-0.40052589999999999</v>
      </c>
      <c r="F78">
        <v>-0.57233660340000003</v>
      </c>
      <c r="G78">
        <v>-0.50029904000000003</v>
      </c>
      <c r="H78">
        <v>0.59020983999999999</v>
      </c>
      <c r="I78">
        <v>0.71157645999999997</v>
      </c>
      <c r="J78">
        <v>-0.32443589</v>
      </c>
      <c r="K78">
        <v>-0.28790270000000001</v>
      </c>
    </row>
    <row r="79" spans="1:11" x14ac:dyDescent="0.3">
      <c r="A79" t="s">
        <v>42</v>
      </c>
      <c r="B79">
        <v>126</v>
      </c>
      <c r="C79">
        <v>-0.220541074</v>
      </c>
      <c r="D79">
        <v>0.39742590999999999</v>
      </c>
      <c r="E79">
        <v>-0.22814966</v>
      </c>
      <c r="F79">
        <v>-0.42316161790000001</v>
      </c>
      <c r="G79">
        <v>-0.36022224000000003</v>
      </c>
      <c r="H79">
        <v>0.61000544000000001</v>
      </c>
      <c r="I79">
        <v>0.64898670999999997</v>
      </c>
      <c r="J79">
        <v>-0.25679487000000001</v>
      </c>
      <c r="K79">
        <v>-0.18746915</v>
      </c>
    </row>
    <row r="80" spans="1:11" x14ac:dyDescent="0.3">
      <c r="A80" s="8" t="s">
        <v>47</v>
      </c>
      <c r="B80">
        <v>116</v>
      </c>
      <c r="C80">
        <v>-6.4095978999999997E-2</v>
      </c>
      <c r="D80">
        <v>4.6417409999999999E-2</v>
      </c>
      <c r="E80">
        <v>-8.6299920000000002E-2</v>
      </c>
      <c r="F80">
        <v>-0.12659677580000001</v>
      </c>
      <c r="G80">
        <v>-0.10278866</v>
      </c>
      <c r="H80">
        <v>7.5476760000000004E-2</v>
      </c>
      <c r="I80">
        <v>0.12260842</v>
      </c>
      <c r="J80">
        <v>-8.2395899999999994E-2</v>
      </c>
      <c r="K80">
        <v>-9.8696329999999999E-2</v>
      </c>
    </row>
    <row r="81" spans="1:16" x14ac:dyDescent="0.3">
      <c r="A81" t="s">
        <v>40</v>
      </c>
      <c r="B81">
        <v>109</v>
      </c>
      <c r="C81">
        <v>-4.563391E-3</v>
      </c>
      <c r="D81" s="8">
        <v>-8.1266669999999999E-2</v>
      </c>
      <c r="E81">
        <v>-4.221258E-2</v>
      </c>
      <c r="F81">
        <v>-0.15097140449999999</v>
      </c>
      <c r="G81">
        <v>-0.23268876999999999</v>
      </c>
      <c r="H81">
        <v>0.24919537999999999</v>
      </c>
      <c r="I81">
        <v>0.48752168000000001</v>
      </c>
      <c r="J81">
        <v>-0.10110238000000001</v>
      </c>
      <c r="K81">
        <v>-0.19477189</v>
      </c>
    </row>
    <row r="82" spans="1:16" x14ac:dyDescent="0.3">
      <c r="A82" t="s">
        <v>38</v>
      </c>
      <c r="B82">
        <v>102</v>
      </c>
      <c r="C82">
        <v>-0.177978465</v>
      </c>
      <c r="D82">
        <v>0.26211591000000001</v>
      </c>
      <c r="E82">
        <v>-0.33019575000000001</v>
      </c>
      <c r="F82">
        <v>-0.35953330449999998</v>
      </c>
      <c r="G82">
        <v>-0.32322324000000002</v>
      </c>
      <c r="H82">
        <v>0.33164979999999999</v>
      </c>
      <c r="I82">
        <v>0.30671292999999999</v>
      </c>
      <c r="J82">
        <v>-0.33314336</v>
      </c>
      <c r="K82">
        <v>-0.33717796</v>
      </c>
    </row>
    <row r="85" spans="1:16" x14ac:dyDescent="0.3">
      <c r="A85" s="27" t="s">
        <v>80</v>
      </c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4"/>
      <c r="N85" s="22" t="s">
        <v>94</v>
      </c>
      <c r="O85" s="22"/>
      <c r="P85" s="33"/>
    </row>
    <row r="86" spans="1:16" x14ac:dyDescent="0.3">
      <c r="A86" t="s">
        <v>0</v>
      </c>
      <c r="B86" s="3" t="s">
        <v>3</v>
      </c>
      <c r="C86" s="3" t="s">
        <v>72</v>
      </c>
      <c r="D86" s="3" t="s">
        <v>73</v>
      </c>
      <c r="E86" s="3" t="s">
        <v>74</v>
      </c>
      <c r="F86" s="3" t="s">
        <v>75</v>
      </c>
      <c r="G86" s="3" t="s">
        <v>76</v>
      </c>
      <c r="H86" s="35" t="s">
        <v>77</v>
      </c>
      <c r="I86" s="3" t="s">
        <v>78</v>
      </c>
      <c r="J86" s="35" t="s">
        <v>79</v>
      </c>
      <c r="K86" t="s">
        <v>28</v>
      </c>
      <c r="L86" s="3" t="s">
        <v>84</v>
      </c>
      <c r="N86" s="23" t="s">
        <v>32</v>
      </c>
      <c r="O86" s="23" t="s">
        <v>28</v>
      </c>
      <c r="P86" s="34" t="s">
        <v>82</v>
      </c>
    </row>
    <row r="87" spans="1:16" x14ac:dyDescent="0.3">
      <c r="A87" t="s">
        <v>7</v>
      </c>
      <c r="B87" s="3" t="s">
        <v>29</v>
      </c>
      <c r="C87" s="3" t="s">
        <v>29</v>
      </c>
      <c r="D87" s="3" t="s">
        <v>29</v>
      </c>
      <c r="E87" s="3" t="s">
        <v>29</v>
      </c>
      <c r="F87" s="3" t="s">
        <v>29</v>
      </c>
      <c r="G87" s="3" t="s">
        <v>29</v>
      </c>
      <c r="H87" s="3" t="s">
        <v>29</v>
      </c>
      <c r="I87" s="3"/>
      <c r="J87" s="3" t="s">
        <v>29</v>
      </c>
      <c r="K87">
        <v>0.46636547</v>
      </c>
      <c r="L87">
        <f t="shared" ref="L87:L114" si="0">COUNTIF(B87:J87,"X")</f>
        <v>8</v>
      </c>
      <c r="N87">
        <v>0.48632123999999999</v>
      </c>
      <c r="O87">
        <v>0.46441076799999997</v>
      </c>
      <c r="P87" s="5">
        <f>(K87-O87)/K87</f>
        <v>4.1913523314666291E-3</v>
      </c>
    </row>
    <row r="88" spans="1:16" x14ac:dyDescent="0.3">
      <c r="A88" t="s">
        <v>8</v>
      </c>
      <c r="B88" s="3" t="s">
        <v>29</v>
      </c>
      <c r="C88" s="3" t="s">
        <v>29</v>
      </c>
      <c r="D88" s="3" t="s">
        <v>29</v>
      </c>
      <c r="E88" s="3" t="s">
        <v>29</v>
      </c>
      <c r="F88" s="3"/>
      <c r="G88" s="3"/>
      <c r="H88" s="3" t="s">
        <v>29</v>
      </c>
      <c r="I88" s="3" t="s">
        <v>29</v>
      </c>
      <c r="J88" s="3" t="s">
        <v>29</v>
      </c>
      <c r="K88">
        <v>0.36250254999999998</v>
      </c>
      <c r="L88">
        <f t="shared" si="0"/>
        <v>7</v>
      </c>
      <c r="N88">
        <v>0.38446709000000001</v>
      </c>
      <c r="O88">
        <v>0.35796089199999997</v>
      </c>
      <c r="P88" s="5">
        <f t="shared" ref="P88:P114" si="1">(K88-O88)/K88</f>
        <v>1.2528623591751298E-2</v>
      </c>
    </row>
    <row r="89" spans="1:16" x14ac:dyDescent="0.3">
      <c r="A89" s="8" t="s">
        <v>18</v>
      </c>
      <c r="B89" s="3"/>
      <c r="C89" s="3"/>
      <c r="D89" s="3"/>
      <c r="E89" s="3"/>
      <c r="F89" s="3" t="s">
        <v>29</v>
      </c>
      <c r="G89" s="3" t="s">
        <v>29</v>
      </c>
      <c r="H89" s="3" t="s">
        <v>29</v>
      </c>
      <c r="I89" s="3"/>
      <c r="J89" s="3"/>
      <c r="K89">
        <v>7.7085600000000004E-2</v>
      </c>
      <c r="L89">
        <f t="shared" si="0"/>
        <v>3</v>
      </c>
      <c r="N89">
        <v>9.8033839999999997E-2</v>
      </c>
      <c r="O89">
        <v>5.9006458999999997E-2</v>
      </c>
      <c r="P89" s="5">
        <f t="shared" si="1"/>
        <v>0.234533311020476</v>
      </c>
    </row>
    <row r="90" spans="1:16" x14ac:dyDescent="0.3">
      <c r="A90" s="8" t="s">
        <v>9</v>
      </c>
      <c r="B90" s="3"/>
      <c r="C90" s="3" t="s">
        <v>29</v>
      </c>
      <c r="D90" s="3"/>
      <c r="E90" s="3" t="s">
        <v>29</v>
      </c>
      <c r="F90" s="3"/>
      <c r="G90" s="3"/>
      <c r="H90" s="3" t="s">
        <v>29</v>
      </c>
      <c r="I90" s="3"/>
      <c r="J90" s="3" t="s">
        <v>29</v>
      </c>
      <c r="K90">
        <v>0.13342445999999999</v>
      </c>
      <c r="L90">
        <f t="shared" si="0"/>
        <v>4</v>
      </c>
      <c r="N90">
        <v>0.16082083999999999</v>
      </c>
      <c r="O90">
        <v>0.124334789</v>
      </c>
      <c r="P90" s="5">
        <f t="shared" si="1"/>
        <v>6.8125971804570126E-2</v>
      </c>
    </row>
    <row r="91" spans="1:16" x14ac:dyDescent="0.3">
      <c r="A91" s="8" t="s">
        <v>19</v>
      </c>
      <c r="B91" s="3"/>
      <c r="C91" s="3"/>
      <c r="D91" s="3"/>
      <c r="E91" s="3" t="s">
        <v>29</v>
      </c>
      <c r="F91" s="3"/>
      <c r="G91" s="3" t="s">
        <v>29</v>
      </c>
      <c r="H91" s="3" t="s">
        <v>29</v>
      </c>
      <c r="I91" s="3"/>
      <c r="J91" s="3" t="s">
        <v>29</v>
      </c>
      <c r="K91">
        <v>0.10259366</v>
      </c>
      <c r="L91">
        <f t="shared" si="0"/>
        <v>4</v>
      </c>
      <c r="N91">
        <v>0.12217499</v>
      </c>
      <c r="O91">
        <v>8.2869395999999998E-2</v>
      </c>
      <c r="P91" s="5">
        <f t="shared" si="1"/>
        <v>0.1922561686560359</v>
      </c>
    </row>
    <row r="92" spans="1:16" x14ac:dyDescent="0.3">
      <c r="A92" t="s">
        <v>14</v>
      </c>
      <c r="B92" s="3" t="s">
        <v>29</v>
      </c>
      <c r="C92" s="3"/>
      <c r="D92" s="3" t="s">
        <v>29</v>
      </c>
      <c r="E92" s="3" t="s">
        <v>29</v>
      </c>
      <c r="F92" s="3" t="s">
        <v>29</v>
      </c>
      <c r="G92" s="3" t="s">
        <v>29</v>
      </c>
      <c r="H92" s="3" t="s">
        <v>29</v>
      </c>
      <c r="I92" s="3"/>
      <c r="J92" s="3"/>
      <c r="K92">
        <v>0.60131108</v>
      </c>
      <c r="L92">
        <f t="shared" si="0"/>
        <v>6</v>
      </c>
      <c r="N92">
        <v>0.61718419999999996</v>
      </c>
      <c r="O92">
        <v>0.59969515399999995</v>
      </c>
      <c r="P92" s="5">
        <f t="shared" si="1"/>
        <v>2.6873378085766277E-3</v>
      </c>
    </row>
    <row r="93" spans="1:16" x14ac:dyDescent="0.3">
      <c r="A93" s="8" t="s">
        <v>20</v>
      </c>
      <c r="B93" s="3"/>
      <c r="C93" s="3" t="s">
        <v>29</v>
      </c>
      <c r="D93" s="3"/>
      <c r="E93" s="3"/>
      <c r="F93" s="3"/>
      <c r="G93" s="3"/>
      <c r="H93" s="3" t="s">
        <v>29</v>
      </c>
      <c r="I93" s="3"/>
      <c r="J93" s="3" t="s">
        <v>29</v>
      </c>
      <c r="K93">
        <v>3.0828129999999999E-2</v>
      </c>
      <c r="L93">
        <f t="shared" si="0"/>
        <v>3</v>
      </c>
      <c r="N93">
        <v>5.0162119999999998E-2</v>
      </c>
      <c r="O93">
        <v>6.7685059999999997E-3</v>
      </c>
      <c r="P93" s="5">
        <f t="shared" si="1"/>
        <v>0.78044383490013824</v>
      </c>
    </row>
    <row r="94" spans="1:16" x14ac:dyDescent="0.3">
      <c r="A94" t="s">
        <v>21</v>
      </c>
      <c r="B94" s="3" t="s">
        <v>29</v>
      </c>
      <c r="C94" s="3" t="s">
        <v>29</v>
      </c>
      <c r="D94" s="3"/>
      <c r="E94" s="3"/>
      <c r="F94" s="3"/>
      <c r="G94" s="3"/>
      <c r="H94" s="3" t="s">
        <v>29</v>
      </c>
      <c r="I94" s="3"/>
      <c r="J94" s="3" t="s">
        <v>29</v>
      </c>
      <c r="K94">
        <v>0.48895614999999998</v>
      </c>
      <c r="L94">
        <f t="shared" si="0"/>
        <v>4</v>
      </c>
      <c r="N94">
        <v>0.50542485000000004</v>
      </c>
      <c r="O94">
        <v>0.48212026400000002</v>
      </c>
      <c r="P94" s="5">
        <f t="shared" si="1"/>
        <v>1.3980570650353734E-2</v>
      </c>
    </row>
    <row r="95" spans="1:16" x14ac:dyDescent="0.3">
      <c r="A95" t="s">
        <v>22</v>
      </c>
      <c r="B95" s="3" t="s">
        <v>29</v>
      </c>
      <c r="C95" s="3" t="s">
        <v>29</v>
      </c>
      <c r="D95" s="3" t="s">
        <v>29</v>
      </c>
      <c r="E95" s="3" t="s">
        <v>29</v>
      </c>
      <c r="F95" s="3" t="s">
        <v>29</v>
      </c>
      <c r="G95" s="3"/>
      <c r="H95" s="3" t="s">
        <v>29</v>
      </c>
      <c r="I95" s="3" t="s">
        <v>29</v>
      </c>
      <c r="J95" s="3" t="s">
        <v>29</v>
      </c>
      <c r="K95">
        <v>0.75203165999999999</v>
      </c>
      <c r="L95">
        <f t="shared" si="0"/>
        <v>8</v>
      </c>
      <c r="N95">
        <v>0.76254906</v>
      </c>
      <c r="O95">
        <v>0.75087114200000005</v>
      </c>
      <c r="P95" s="5">
        <f t="shared" si="1"/>
        <v>1.5431770518809591E-3</v>
      </c>
    </row>
    <row r="96" spans="1:16" x14ac:dyDescent="0.3">
      <c r="A96" t="s">
        <v>23</v>
      </c>
      <c r="B96" s="3"/>
      <c r="C96" s="3" t="s">
        <v>29</v>
      </c>
      <c r="D96" s="3" t="s">
        <v>29</v>
      </c>
      <c r="E96" s="3"/>
      <c r="F96" s="3" t="s">
        <v>29</v>
      </c>
      <c r="G96" s="3" t="s">
        <v>29</v>
      </c>
      <c r="H96" s="3" t="s">
        <v>29</v>
      </c>
      <c r="I96" s="3" t="s">
        <v>29</v>
      </c>
      <c r="J96" s="3" t="s">
        <v>29</v>
      </c>
      <c r="K96">
        <v>0.60331820999999997</v>
      </c>
      <c r="L96">
        <f t="shared" si="0"/>
        <v>7</v>
      </c>
      <c r="N96">
        <v>0.61981344000000005</v>
      </c>
      <c r="O96">
        <v>0.60080411300000003</v>
      </c>
      <c r="P96" s="5">
        <f t="shared" si="1"/>
        <v>4.1671160563841389E-3</v>
      </c>
    </row>
    <row r="97" spans="1:16" x14ac:dyDescent="0.3">
      <c r="A97" t="s">
        <v>24</v>
      </c>
      <c r="B97" s="3" t="s">
        <v>29</v>
      </c>
      <c r="C97" s="3" t="s">
        <v>29</v>
      </c>
      <c r="D97" s="3" t="s">
        <v>29</v>
      </c>
      <c r="E97" s="3" t="s">
        <v>29</v>
      </c>
      <c r="F97" s="3"/>
      <c r="G97" s="3" t="s">
        <v>29</v>
      </c>
      <c r="H97" s="3" t="s">
        <v>29</v>
      </c>
      <c r="I97" s="3" t="s">
        <v>29</v>
      </c>
      <c r="J97" s="3" t="s">
        <v>29</v>
      </c>
      <c r="K97">
        <v>0.83276503000000002</v>
      </c>
      <c r="L97">
        <f t="shared" si="0"/>
        <v>8</v>
      </c>
      <c r="N97">
        <v>0.84003415999999997</v>
      </c>
      <c r="O97">
        <v>0.83190030800000003</v>
      </c>
      <c r="P97" s="5">
        <f t="shared" si="1"/>
        <v>1.0383745340507206E-3</v>
      </c>
    </row>
    <row r="98" spans="1:16" x14ac:dyDescent="0.3">
      <c r="A98" t="s">
        <v>17</v>
      </c>
      <c r="B98" s="3" t="s">
        <v>29</v>
      </c>
      <c r="C98" s="3"/>
      <c r="D98" s="3"/>
      <c r="E98" s="3" t="s">
        <v>29</v>
      </c>
      <c r="F98" s="3"/>
      <c r="G98" s="3" t="s">
        <v>29</v>
      </c>
      <c r="H98" s="3" t="s">
        <v>29</v>
      </c>
      <c r="I98" s="3" t="s">
        <v>29</v>
      </c>
      <c r="J98" s="3" t="s">
        <v>29</v>
      </c>
      <c r="K98">
        <v>0.33841201999999998</v>
      </c>
      <c r="L98">
        <f t="shared" si="0"/>
        <v>6</v>
      </c>
      <c r="N98">
        <v>0.36286309</v>
      </c>
      <c r="O98">
        <v>0.33028222899999998</v>
      </c>
      <c r="P98" s="5">
        <f t="shared" si="1"/>
        <v>2.4023351771015691E-2</v>
      </c>
    </row>
    <row r="99" spans="1:16" x14ac:dyDescent="0.3">
      <c r="A99" t="s">
        <v>34</v>
      </c>
      <c r="B99" s="3" t="s">
        <v>29</v>
      </c>
      <c r="C99" s="3" t="s">
        <v>29</v>
      </c>
      <c r="D99" s="3" t="s">
        <v>29</v>
      </c>
      <c r="E99" s="3" t="s">
        <v>29</v>
      </c>
      <c r="F99" s="3"/>
      <c r="G99" s="3"/>
      <c r="H99" s="3" t="s">
        <v>29</v>
      </c>
      <c r="I99" s="3"/>
      <c r="J99" s="3" t="s">
        <v>29</v>
      </c>
      <c r="K99">
        <v>0.70574183000000001</v>
      </c>
      <c r="L99">
        <f t="shared" si="0"/>
        <v>6</v>
      </c>
      <c r="N99">
        <v>0.71722540000000001</v>
      </c>
      <c r="O99">
        <v>0.70259912599999996</v>
      </c>
      <c r="P99" s="5">
        <f t="shared" si="1"/>
        <v>4.4530504873149601E-3</v>
      </c>
    </row>
    <row r="100" spans="1:16" x14ac:dyDescent="0.3">
      <c r="A100" t="s">
        <v>16</v>
      </c>
      <c r="B100" s="3" t="s">
        <v>29</v>
      </c>
      <c r="C100" s="3" t="s">
        <v>29</v>
      </c>
      <c r="D100" s="3" t="s">
        <v>29</v>
      </c>
      <c r="E100" s="3" t="s">
        <v>29</v>
      </c>
      <c r="F100" s="3"/>
      <c r="G100" s="3"/>
      <c r="H100" s="3" t="s">
        <v>29</v>
      </c>
      <c r="I100" s="3" t="s">
        <v>29</v>
      </c>
      <c r="J100" s="3"/>
      <c r="K100">
        <v>0.53543954000000005</v>
      </c>
      <c r="L100">
        <f t="shared" si="0"/>
        <v>6</v>
      </c>
      <c r="N100">
        <v>0.55194767</v>
      </c>
      <c r="O100">
        <v>0.528086893</v>
      </c>
      <c r="P100" s="5">
        <f t="shared" si="1"/>
        <v>1.3731983633483708E-2</v>
      </c>
    </row>
    <row r="101" spans="1:16" x14ac:dyDescent="0.3">
      <c r="A101" t="s">
        <v>12</v>
      </c>
      <c r="B101" s="3" t="s">
        <v>29</v>
      </c>
      <c r="C101" s="3"/>
      <c r="D101" s="3"/>
      <c r="E101" s="3" t="s">
        <v>29</v>
      </c>
      <c r="F101" s="3" t="s">
        <v>29</v>
      </c>
      <c r="G101" s="3" t="s">
        <v>29</v>
      </c>
      <c r="H101" s="3" t="s">
        <v>29</v>
      </c>
      <c r="I101" s="3"/>
      <c r="J101" s="3"/>
      <c r="K101">
        <v>0.59891158</v>
      </c>
      <c r="L101">
        <f t="shared" si="0"/>
        <v>5</v>
      </c>
      <c r="N101">
        <v>0.61717664000000005</v>
      </c>
      <c r="O101">
        <v>0.59666824600000001</v>
      </c>
      <c r="P101" s="5">
        <f t="shared" si="1"/>
        <v>3.7456847970780355E-3</v>
      </c>
    </row>
    <row r="102" spans="1:16" x14ac:dyDescent="0.3">
      <c r="A102" t="s">
        <v>35</v>
      </c>
      <c r="B102" s="3" t="s">
        <v>29</v>
      </c>
      <c r="C102" s="3" t="s">
        <v>29</v>
      </c>
      <c r="D102" s="3" t="s">
        <v>29</v>
      </c>
      <c r="E102" s="3" t="s">
        <v>29</v>
      </c>
      <c r="F102" s="3"/>
      <c r="G102" s="3"/>
      <c r="H102" s="3" t="s">
        <v>29</v>
      </c>
      <c r="I102" s="3"/>
      <c r="J102" s="3" t="s">
        <v>29</v>
      </c>
      <c r="K102">
        <v>0.38804843</v>
      </c>
      <c r="L102">
        <f t="shared" si="0"/>
        <v>6</v>
      </c>
      <c r="N102">
        <v>0.41024153000000002</v>
      </c>
      <c r="O102">
        <v>0.37826667200000003</v>
      </c>
      <c r="P102" s="5">
        <f t="shared" si="1"/>
        <v>2.5207570096340743E-2</v>
      </c>
    </row>
    <row r="103" spans="1:16" x14ac:dyDescent="0.3">
      <c r="A103" t="s">
        <v>36</v>
      </c>
      <c r="B103" s="3" t="s">
        <v>29</v>
      </c>
      <c r="C103" s="3" t="s">
        <v>29</v>
      </c>
      <c r="D103" s="3" t="s">
        <v>29</v>
      </c>
      <c r="E103" s="3"/>
      <c r="F103" s="3"/>
      <c r="G103" s="3" t="s">
        <v>29</v>
      </c>
      <c r="H103" s="3"/>
      <c r="I103" s="3"/>
      <c r="J103" s="3" t="s">
        <v>29</v>
      </c>
      <c r="K103">
        <v>0.41566608999999999</v>
      </c>
      <c r="L103">
        <f t="shared" si="0"/>
        <v>5</v>
      </c>
      <c r="N103">
        <v>0.43657800000000002</v>
      </c>
      <c r="O103">
        <v>0.40468619300000003</v>
      </c>
      <c r="P103" s="5">
        <f t="shared" si="1"/>
        <v>2.6415185804547974E-2</v>
      </c>
    </row>
    <row r="104" spans="1:16" x14ac:dyDescent="0.3">
      <c r="A104" t="s">
        <v>11</v>
      </c>
      <c r="B104" s="3" t="s">
        <v>29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3" t="s">
        <v>29</v>
      </c>
      <c r="I104" s="3"/>
      <c r="J104" s="3"/>
      <c r="K104">
        <v>0.70053087999999997</v>
      </c>
      <c r="L104">
        <f t="shared" si="0"/>
        <v>7</v>
      </c>
      <c r="N104">
        <v>0.71430020000000005</v>
      </c>
      <c r="O104">
        <v>0.69802616500000003</v>
      </c>
      <c r="P104" s="5">
        <f t="shared" si="1"/>
        <v>3.5754526624150176E-3</v>
      </c>
    </row>
    <row r="105" spans="1:16" x14ac:dyDescent="0.3">
      <c r="A105" t="s">
        <v>33</v>
      </c>
      <c r="B105" s="3" t="s">
        <v>29</v>
      </c>
      <c r="C105" s="3"/>
      <c r="D105" s="3"/>
      <c r="E105" s="3" t="s">
        <v>29</v>
      </c>
      <c r="F105" s="3" t="s">
        <v>29</v>
      </c>
      <c r="G105" s="3" t="s">
        <v>29</v>
      </c>
      <c r="H105" s="3" t="s">
        <v>29</v>
      </c>
      <c r="I105" s="3"/>
      <c r="J105" s="3" t="s">
        <v>29</v>
      </c>
      <c r="K105">
        <v>0.70071728</v>
      </c>
      <c r="L105">
        <f t="shared" si="0"/>
        <v>6</v>
      </c>
      <c r="N105">
        <v>0.71469822000000005</v>
      </c>
      <c r="O105">
        <v>0.69813231099999995</v>
      </c>
      <c r="P105" s="5">
        <f t="shared" si="1"/>
        <v>3.6890327579762955E-3</v>
      </c>
    </row>
    <row r="106" spans="1:16" x14ac:dyDescent="0.3">
      <c r="A106" t="s">
        <v>10</v>
      </c>
      <c r="B106" s="3" t="s">
        <v>29</v>
      </c>
      <c r="C106" s="3" t="s">
        <v>29</v>
      </c>
      <c r="D106" s="3" t="s">
        <v>29</v>
      </c>
      <c r="E106" s="3" t="s">
        <v>29</v>
      </c>
      <c r="F106" s="3"/>
      <c r="G106" s="3"/>
      <c r="H106" s="3" t="s">
        <v>29</v>
      </c>
      <c r="I106" s="3"/>
      <c r="J106" s="3" t="s">
        <v>29</v>
      </c>
      <c r="K106">
        <v>0.70135199000000004</v>
      </c>
      <c r="L106">
        <f t="shared" si="0"/>
        <v>6</v>
      </c>
      <c r="N106">
        <v>0.71510189999999996</v>
      </c>
      <c r="O106">
        <v>0.69845201099999998</v>
      </c>
      <c r="P106" s="5">
        <f t="shared" si="1"/>
        <v>4.1348410517806503E-3</v>
      </c>
    </row>
    <row r="107" spans="1:16" x14ac:dyDescent="0.3">
      <c r="A107" s="8" t="s">
        <v>13</v>
      </c>
      <c r="B107" s="3" t="s">
        <v>29</v>
      </c>
      <c r="C107" s="3"/>
      <c r="D107" s="3"/>
      <c r="E107" s="3"/>
      <c r="F107" s="3"/>
      <c r="G107" s="3"/>
      <c r="H107" s="3" t="s">
        <v>29</v>
      </c>
      <c r="I107" s="3"/>
      <c r="J107" s="3"/>
      <c r="K107">
        <v>4.0649699999999997E-2</v>
      </c>
      <c r="L107">
        <f t="shared" si="0"/>
        <v>2</v>
      </c>
      <c r="N107">
        <v>6.7793010000000001E-2</v>
      </c>
      <c r="O107">
        <v>1.3313380999999999E-2</v>
      </c>
      <c r="P107" s="5">
        <f t="shared" si="1"/>
        <v>0.67248513519164965</v>
      </c>
    </row>
    <row r="108" spans="1:16" x14ac:dyDescent="0.3">
      <c r="A108" s="8" t="s">
        <v>37</v>
      </c>
      <c r="B108" s="3" t="s">
        <v>29</v>
      </c>
      <c r="C108" s="3"/>
      <c r="D108" s="3" t="s">
        <v>29</v>
      </c>
      <c r="E108" s="3" t="s">
        <v>29</v>
      </c>
      <c r="F108" s="3" t="s">
        <v>29</v>
      </c>
      <c r="G108" s="3" t="s">
        <v>29</v>
      </c>
      <c r="H108" s="3"/>
      <c r="I108" s="3" t="s">
        <v>29</v>
      </c>
      <c r="J108" s="3" t="s">
        <v>29</v>
      </c>
      <c r="K108">
        <v>2.9247840000000001E-2</v>
      </c>
      <c r="L108">
        <f t="shared" si="0"/>
        <v>7</v>
      </c>
      <c r="N108">
        <v>7.7483960000000004E-2</v>
      </c>
      <c r="O108">
        <v>1.9423513999999999E-2</v>
      </c>
      <c r="P108" s="5">
        <f t="shared" si="1"/>
        <v>0.33589919802624746</v>
      </c>
    </row>
    <row r="109" spans="1:16" x14ac:dyDescent="0.3">
      <c r="A109" t="s">
        <v>39</v>
      </c>
      <c r="B109" s="3" t="s">
        <v>29</v>
      </c>
      <c r="C109" s="3"/>
      <c r="D109" s="3" t="s">
        <v>29</v>
      </c>
      <c r="E109" s="3" t="s">
        <v>29</v>
      </c>
      <c r="F109" s="3"/>
      <c r="G109" s="3" t="s">
        <v>29</v>
      </c>
      <c r="H109" s="3" t="s">
        <v>29</v>
      </c>
      <c r="I109" s="3"/>
      <c r="J109" s="3" t="s">
        <v>29</v>
      </c>
      <c r="K109">
        <v>0.28817354000000001</v>
      </c>
      <c r="L109">
        <f t="shared" si="0"/>
        <v>6</v>
      </c>
      <c r="N109">
        <v>0.32211118999999999</v>
      </c>
      <c r="O109">
        <v>0.27553867799999998</v>
      </c>
      <c r="P109" s="5">
        <f t="shared" si="1"/>
        <v>4.3844629177265976E-2</v>
      </c>
    </row>
    <row r="110" spans="1:16" x14ac:dyDescent="0.3">
      <c r="A110" t="s">
        <v>15</v>
      </c>
      <c r="B110" s="3" t="s">
        <v>29</v>
      </c>
      <c r="C110" s="3" t="s">
        <v>29</v>
      </c>
      <c r="D110" s="3" t="s">
        <v>29</v>
      </c>
      <c r="E110" s="3" t="s">
        <v>29</v>
      </c>
      <c r="F110" s="3"/>
      <c r="G110" s="3"/>
      <c r="H110" s="3" t="s">
        <v>29</v>
      </c>
      <c r="I110" s="3"/>
      <c r="J110" s="3" t="s">
        <v>29</v>
      </c>
      <c r="K110">
        <v>0.63677879999999998</v>
      </c>
      <c r="L110">
        <f t="shared" si="0"/>
        <v>6</v>
      </c>
      <c r="N110">
        <v>0.65507234999999997</v>
      </c>
      <c r="O110">
        <v>0.63043465700000001</v>
      </c>
      <c r="P110" s="5">
        <f t="shared" si="1"/>
        <v>9.9628677964781007E-3</v>
      </c>
    </row>
    <row r="111" spans="1:16" x14ac:dyDescent="0.3">
      <c r="A111" t="s">
        <v>42</v>
      </c>
      <c r="B111" s="3"/>
      <c r="C111" s="3"/>
      <c r="D111" s="3"/>
      <c r="E111" s="3" t="s">
        <v>29</v>
      </c>
      <c r="F111" s="3" t="s">
        <v>29</v>
      </c>
      <c r="G111" s="3"/>
      <c r="H111" s="3" t="s">
        <v>29</v>
      </c>
      <c r="I111" s="3"/>
      <c r="J111" s="3" t="s">
        <v>29</v>
      </c>
      <c r="K111">
        <v>0.42966169999999998</v>
      </c>
      <c r="L111">
        <f t="shared" si="0"/>
        <v>4</v>
      </c>
      <c r="N111">
        <v>0.45279754999999999</v>
      </c>
      <c r="O111">
        <v>0.41034219199999999</v>
      </c>
      <c r="P111" s="5">
        <f t="shared" si="1"/>
        <v>4.4964463902647099E-2</v>
      </c>
    </row>
    <row r="112" spans="1:16" x14ac:dyDescent="0.3">
      <c r="A112" s="8" t="s">
        <v>47</v>
      </c>
      <c r="B112" s="3" t="s">
        <v>29</v>
      </c>
      <c r="C112" s="3" t="s">
        <v>29</v>
      </c>
      <c r="D112" s="3"/>
      <c r="E112" s="3" t="s">
        <v>29</v>
      </c>
      <c r="F112" s="3"/>
      <c r="G112" s="3" t="s">
        <v>29</v>
      </c>
      <c r="H112" s="3" t="s">
        <v>29</v>
      </c>
      <c r="I112" s="3"/>
      <c r="J112" s="3"/>
      <c r="K112">
        <v>1.00173E-2</v>
      </c>
      <c r="L112">
        <f t="shared" si="0"/>
        <v>5</v>
      </c>
      <c r="N112">
        <v>5.7508160000000003E-2</v>
      </c>
      <c r="O112">
        <v>-2.251473E-2</v>
      </c>
      <c r="P112" s="5">
        <f t="shared" si="1"/>
        <v>3.2475846785061848</v>
      </c>
    </row>
    <row r="113" spans="1:16" x14ac:dyDescent="0.3">
      <c r="A113" t="s">
        <v>40</v>
      </c>
      <c r="B113" s="3" t="s">
        <v>29</v>
      </c>
      <c r="C113" s="3" t="s">
        <v>29</v>
      </c>
      <c r="D113" s="3" t="s">
        <v>29</v>
      </c>
      <c r="E113" s="3" t="s">
        <v>29</v>
      </c>
      <c r="F113" s="3"/>
      <c r="G113" s="3"/>
      <c r="H113" s="3" t="s">
        <v>29</v>
      </c>
      <c r="I113" s="3"/>
      <c r="J113" s="3"/>
      <c r="K113">
        <v>0.34594143999999999</v>
      </c>
      <c r="L113">
        <f t="shared" si="0"/>
        <v>5</v>
      </c>
      <c r="N113">
        <v>0.38952782000000002</v>
      </c>
      <c r="O113">
        <v>0.33403035199999997</v>
      </c>
      <c r="P113" s="5">
        <f t="shared" si="1"/>
        <v>3.4430937212957244E-2</v>
      </c>
    </row>
    <row r="114" spans="1:16" x14ac:dyDescent="0.3">
      <c r="A114" t="s">
        <v>38</v>
      </c>
      <c r="B114" s="3"/>
      <c r="C114" s="3"/>
      <c r="D114" s="3"/>
      <c r="E114" s="3" t="s">
        <v>29</v>
      </c>
      <c r="F114" s="3"/>
      <c r="G114" s="3" t="s">
        <v>29</v>
      </c>
      <c r="H114" s="3"/>
      <c r="I114" s="3"/>
      <c r="J114" s="3" t="s">
        <v>29</v>
      </c>
      <c r="K114">
        <v>0.20566113999999999</v>
      </c>
      <c r="L114">
        <f t="shared" si="0"/>
        <v>3</v>
      </c>
      <c r="N114">
        <v>0.23535848000000001</v>
      </c>
      <c r="O114">
        <v>0.160556595</v>
      </c>
      <c r="P114" s="5">
        <f t="shared" si="1"/>
        <v>0.21931486424708138</v>
      </c>
    </row>
    <row r="117" spans="1:16" ht="30" customHeight="1" x14ac:dyDescent="0.3">
      <c r="A117" s="37"/>
      <c r="B117" s="39" t="s">
        <v>114</v>
      </c>
      <c r="C117" s="39"/>
      <c r="D117" s="40" t="s">
        <v>115</v>
      </c>
      <c r="E117" s="40"/>
      <c r="F117" s="42" t="s">
        <v>116</v>
      </c>
      <c r="G117" s="42"/>
      <c r="H117" s="44" t="s">
        <v>117</v>
      </c>
      <c r="I117" s="44"/>
      <c r="J117" s="46" t="s">
        <v>118</v>
      </c>
      <c r="K117" s="46"/>
      <c r="L117" s="38" t="s">
        <v>121</v>
      </c>
      <c r="O117" t="s">
        <v>123</v>
      </c>
    </row>
    <row r="118" spans="1:16" x14ac:dyDescent="0.3">
      <c r="A118" s="36" t="s">
        <v>0</v>
      </c>
      <c r="B118" s="23" t="s">
        <v>32</v>
      </c>
      <c r="C118" s="23" t="s">
        <v>28</v>
      </c>
      <c r="D118" s="41" t="s">
        <v>32</v>
      </c>
      <c r="E118" s="41" t="s">
        <v>28</v>
      </c>
      <c r="F118" s="43" t="s">
        <v>32</v>
      </c>
      <c r="G118" s="43" t="s">
        <v>28</v>
      </c>
      <c r="H118" s="45" t="s">
        <v>32</v>
      </c>
      <c r="I118" s="45" t="s">
        <v>28</v>
      </c>
      <c r="J118" s="47" t="s">
        <v>32</v>
      </c>
      <c r="K118" s="47" t="s">
        <v>28</v>
      </c>
      <c r="L118" s="38"/>
      <c r="M118" t="s">
        <v>119</v>
      </c>
      <c r="N118" t="s">
        <v>122</v>
      </c>
      <c r="O118" s="2" t="s">
        <v>124</v>
      </c>
    </row>
    <row r="119" spans="1:16" x14ac:dyDescent="0.3">
      <c r="A119" t="s">
        <v>7</v>
      </c>
      <c r="B119">
        <v>0.48632123999999999</v>
      </c>
      <c r="C119">
        <v>0.46441076799999997</v>
      </c>
      <c r="D119">
        <v>0.42868437999999998</v>
      </c>
      <c r="E119">
        <v>0.41266618300000002</v>
      </c>
      <c r="F119">
        <v>0.33269620500000002</v>
      </c>
      <c r="G119">
        <v>0.32347080700000003</v>
      </c>
      <c r="H119">
        <v>0.34112587</v>
      </c>
      <c r="I119">
        <v>0.332017014</v>
      </c>
      <c r="J119">
        <v>0.39900403000000001</v>
      </c>
      <c r="K119">
        <v>0.39069533169999998</v>
      </c>
      <c r="L119" s="50">
        <f>MAX(C119,E119,G119,I119,K119)</f>
        <v>0.46441076799999997</v>
      </c>
      <c r="M119" s="48">
        <f>LARGE((C119,E119,G119,I119,K119),2)</f>
        <v>0.41266618300000002</v>
      </c>
      <c r="N119" s="52">
        <f>(L119-M119)/L119</f>
        <v>0.11141986483827601</v>
      </c>
      <c r="O119" s="3" t="s">
        <v>125</v>
      </c>
    </row>
    <row r="120" spans="1:16" x14ac:dyDescent="0.3">
      <c r="A120" t="s">
        <v>8</v>
      </c>
      <c r="B120">
        <v>0.38446709000000001</v>
      </c>
      <c r="C120">
        <v>0.35796089199999997</v>
      </c>
      <c r="D120">
        <v>0.37153828</v>
      </c>
      <c r="E120">
        <v>0.35375162700000001</v>
      </c>
      <c r="F120">
        <v>0.25565581100000001</v>
      </c>
      <c r="G120">
        <v>0.245269613</v>
      </c>
      <c r="H120">
        <v>0.26458098000000002</v>
      </c>
      <c r="I120">
        <v>0.25431931899999999</v>
      </c>
      <c r="J120">
        <v>0.26804155000000002</v>
      </c>
      <c r="K120">
        <v>0.2578281738</v>
      </c>
      <c r="L120" s="50">
        <f t="shared" ref="L120:L146" si="2">MAX(C120,E120,G120,I120,K120)</f>
        <v>0.35796089199999997</v>
      </c>
      <c r="M120" s="48">
        <f>LARGE((C120,E120,G120,I120,K120),2)</f>
        <v>0.35375162700000001</v>
      </c>
      <c r="N120" s="52">
        <f t="shared" ref="N120:N146" si="3">(L120-M120)/L120</f>
        <v>1.1759008020350899E-2</v>
      </c>
      <c r="O120" s="3" t="s">
        <v>126</v>
      </c>
    </row>
    <row r="121" spans="1:16" x14ac:dyDescent="0.3">
      <c r="A121" s="8" t="s">
        <v>18</v>
      </c>
      <c r="B121">
        <v>9.8033839999999997E-2</v>
      </c>
      <c r="C121">
        <v>5.9006458999999997E-2</v>
      </c>
      <c r="D121">
        <v>9.5352510000000001E-2</v>
      </c>
      <c r="E121">
        <v>6.9627941999999998E-2</v>
      </c>
      <c r="F121">
        <v>7.2671319999999998E-2</v>
      </c>
      <c r="G121">
        <v>5.9671385E-2</v>
      </c>
      <c r="H121">
        <v>9.1051960000000001E-2</v>
      </c>
      <c r="I121">
        <v>7.8309699999999996E-2</v>
      </c>
      <c r="J121">
        <v>7.9238160000000002E-2</v>
      </c>
      <c r="K121">
        <v>6.6330281599999999E-2</v>
      </c>
      <c r="L121" s="51">
        <f t="shared" si="2"/>
        <v>7.8309699999999996E-2</v>
      </c>
      <c r="M121" s="49">
        <f>LARGE((C121,E121,G121,I121,K121),2)</f>
        <v>6.9627941999999998E-2</v>
      </c>
      <c r="N121" s="53">
        <f t="shared" si="3"/>
        <v>0.11086440121721827</v>
      </c>
      <c r="O121" s="3"/>
    </row>
    <row r="122" spans="1:16" x14ac:dyDescent="0.3">
      <c r="A122" t="s">
        <v>9</v>
      </c>
      <c r="B122">
        <v>0.16082083999999999</v>
      </c>
      <c r="C122">
        <v>0.124334789</v>
      </c>
      <c r="D122">
        <v>0.15159197999999999</v>
      </c>
      <c r="E122">
        <v>0.12735175300000001</v>
      </c>
      <c r="F122">
        <v>8.2844328999999994E-2</v>
      </c>
      <c r="G122">
        <v>6.9926642999999997E-2</v>
      </c>
      <c r="H122">
        <v>0.11627782</v>
      </c>
      <c r="I122">
        <v>0.10383102800000001</v>
      </c>
      <c r="J122">
        <v>0.11466874000000001</v>
      </c>
      <c r="K122">
        <v>0.1021992808</v>
      </c>
      <c r="L122" s="50">
        <f t="shared" si="2"/>
        <v>0.12735175300000001</v>
      </c>
      <c r="M122" s="48">
        <f>LARGE((C122,E122,G122,I122,K122),2)</f>
        <v>0.124334789</v>
      </c>
      <c r="N122" s="52">
        <f t="shared" si="3"/>
        <v>2.3690007627928063E-2</v>
      </c>
      <c r="O122" s="3" t="s">
        <v>126</v>
      </c>
    </row>
    <row r="123" spans="1:16" x14ac:dyDescent="0.3">
      <c r="A123" s="8" t="s">
        <v>19</v>
      </c>
      <c r="B123">
        <v>0.12217499</v>
      </c>
      <c r="C123">
        <v>8.2869395999999998E-2</v>
      </c>
      <c r="D123">
        <v>0.1204264</v>
      </c>
      <c r="E123">
        <v>9.4556583999999999E-2</v>
      </c>
      <c r="F123">
        <v>0.10967413600000001</v>
      </c>
      <c r="G123">
        <v>9.6770861999999999E-2</v>
      </c>
      <c r="H123">
        <v>7.1952669999999996E-2</v>
      </c>
      <c r="I123">
        <v>5.8502712999999998E-2</v>
      </c>
      <c r="J123">
        <v>0.10220356</v>
      </c>
      <c r="K123">
        <v>8.9192018200000001E-2</v>
      </c>
      <c r="L123" s="51">
        <f t="shared" si="2"/>
        <v>9.6770861999999999E-2</v>
      </c>
      <c r="M123" s="49">
        <f>LARGE((C123,E123,G123,I123,K123),2)</f>
        <v>9.4556583999999999E-2</v>
      </c>
      <c r="N123" s="53">
        <f t="shared" si="3"/>
        <v>2.2881660390707277E-2</v>
      </c>
      <c r="O123" s="3"/>
    </row>
    <row r="124" spans="1:16" x14ac:dyDescent="0.3">
      <c r="A124" t="s">
        <v>14</v>
      </c>
      <c r="B124">
        <v>0.61718419999999996</v>
      </c>
      <c r="C124">
        <v>0.59969515399999995</v>
      </c>
      <c r="D124">
        <v>0.59521329000000001</v>
      </c>
      <c r="E124">
        <v>0.58306969399999997</v>
      </c>
      <c r="F124">
        <v>0.56159143300000003</v>
      </c>
      <c r="G124">
        <v>0.55511248899999999</v>
      </c>
      <c r="H124">
        <v>0.51957317000000003</v>
      </c>
      <c r="I124">
        <v>0.51247326699999995</v>
      </c>
      <c r="J124">
        <v>0.56815760000000004</v>
      </c>
      <c r="K124">
        <v>0.56177568830000002</v>
      </c>
      <c r="L124" s="50">
        <f t="shared" si="2"/>
        <v>0.59969515399999995</v>
      </c>
      <c r="M124" s="48">
        <f>LARGE((C124,E124,G124,I124,K124),2)</f>
        <v>0.58306969399999997</v>
      </c>
      <c r="N124" s="52">
        <f t="shared" si="3"/>
        <v>2.772318550368006E-2</v>
      </c>
      <c r="O124" s="3" t="s">
        <v>126</v>
      </c>
    </row>
    <row r="125" spans="1:16" x14ac:dyDescent="0.3">
      <c r="A125" s="8" t="s">
        <v>20</v>
      </c>
      <c r="B125">
        <v>5.0162119999999998E-2</v>
      </c>
      <c r="C125">
        <v>6.7685059999999997E-3</v>
      </c>
      <c r="D125">
        <v>4.6368109999999997E-2</v>
      </c>
      <c r="E125">
        <v>1.7759153999999999E-2</v>
      </c>
      <c r="F125">
        <v>9.3881620000000002E-3</v>
      </c>
      <c r="G125">
        <v>-5.2514220000000004E-3</v>
      </c>
      <c r="H125">
        <v>2.5481790000000001E-2</v>
      </c>
      <c r="I125">
        <v>1.1080042E-2</v>
      </c>
      <c r="J125">
        <v>2.7406059999999999E-2</v>
      </c>
      <c r="K125">
        <v>1.30327494E-2</v>
      </c>
      <c r="L125" s="51">
        <f t="shared" si="2"/>
        <v>1.7759153999999999E-2</v>
      </c>
      <c r="M125" s="49">
        <f>LARGE((C125,E125,G125,I125,K125),2)</f>
        <v>1.30327494E-2</v>
      </c>
      <c r="N125" s="53">
        <f t="shared" si="3"/>
        <v>0.26613906270535181</v>
      </c>
      <c r="O125" s="3"/>
    </row>
    <row r="126" spans="1:16" x14ac:dyDescent="0.3">
      <c r="A126" t="s">
        <v>21</v>
      </c>
      <c r="B126">
        <v>0.50542485000000004</v>
      </c>
      <c r="C126">
        <v>0.48212026400000002</v>
      </c>
      <c r="D126">
        <v>0.49188352000000002</v>
      </c>
      <c r="E126">
        <v>0.47616857800000001</v>
      </c>
      <c r="F126">
        <v>0.46518301299999998</v>
      </c>
      <c r="G126">
        <v>0.45703859200000002</v>
      </c>
      <c r="H126">
        <v>0.43467914000000002</v>
      </c>
      <c r="I126">
        <v>0.42607019299999999</v>
      </c>
      <c r="J126">
        <v>0.4549281</v>
      </c>
      <c r="K126">
        <v>0.44662750839999998</v>
      </c>
      <c r="L126" s="50">
        <f t="shared" si="2"/>
        <v>0.48212026400000002</v>
      </c>
      <c r="M126" s="48">
        <f>LARGE((C126,E126,G126,I126,K126),2)</f>
        <v>0.47616857800000001</v>
      </c>
      <c r="N126" s="52">
        <f t="shared" si="3"/>
        <v>1.2344816105883514E-2</v>
      </c>
      <c r="O126" s="3" t="s">
        <v>126</v>
      </c>
    </row>
    <row r="127" spans="1:16" x14ac:dyDescent="0.3">
      <c r="A127" t="s">
        <v>22</v>
      </c>
      <c r="B127">
        <v>0.76254906</v>
      </c>
      <c r="C127">
        <v>0.75087114200000005</v>
      </c>
      <c r="D127">
        <v>0.72381843999999995</v>
      </c>
      <c r="E127">
        <v>0.71490936100000002</v>
      </c>
      <c r="F127">
        <v>0.70571984700000001</v>
      </c>
      <c r="G127">
        <v>0.70104873400000001</v>
      </c>
      <c r="H127">
        <v>0.47619928</v>
      </c>
      <c r="I127">
        <v>0.46788497800000001</v>
      </c>
      <c r="J127">
        <v>0.51590638</v>
      </c>
      <c r="K127">
        <v>0.50822235770000002</v>
      </c>
      <c r="L127" s="50">
        <f t="shared" si="2"/>
        <v>0.75087114200000005</v>
      </c>
      <c r="M127" s="48">
        <f>LARGE((C127,E127,G127,I127,K127),2)</f>
        <v>0.71490936100000002</v>
      </c>
      <c r="N127" s="52">
        <f t="shared" si="3"/>
        <v>4.7893412049653687E-2</v>
      </c>
      <c r="O127" s="3" t="s">
        <v>126</v>
      </c>
    </row>
    <row r="128" spans="1:16" x14ac:dyDescent="0.3">
      <c r="A128" t="s">
        <v>23</v>
      </c>
      <c r="B128">
        <v>0.61981344000000005</v>
      </c>
      <c r="C128">
        <v>0.60080411300000003</v>
      </c>
      <c r="D128">
        <v>0.61245490000000002</v>
      </c>
      <c r="E128">
        <v>0.59974849900000005</v>
      </c>
      <c r="F128">
        <v>0.39891268099999999</v>
      </c>
      <c r="G128">
        <v>0.38921772399999999</v>
      </c>
      <c r="H128">
        <v>0.52564348000000005</v>
      </c>
      <c r="I128">
        <v>0.51799256900000001</v>
      </c>
      <c r="J128">
        <v>0.53271469999999999</v>
      </c>
      <c r="K128">
        <v>0.5251778412</v>
      </c>
      <c r="L128" s="50">
        <f t="shared" si="2"/>
        <v>0.60080411300000003</v>
      </c>
      <c r="M128" s="48">
        <f>LARGE((C128,E128,G128,I128,K128),2)</f>
        <v>0.59974849900000005</v>
      </c>
      <c r="N128" s="52">
        <f t="shared" si="3"/>
        <v>1.7570019531473855E-3</v>
      </c>
      <c r="O128" s="3" t="s">
        <v>126</v>
      </c>
    </row>
    <row r="129" spans="1:15" x14ac:dyDescent="0.3">
      <c r="A129" t="s">
        <v>24</v>
      </c>
      <c r="B129">
        <v>0.84003415999999997</v>
      </c>
      <c r="C129">
        <v>0.83190030800000003</v>
      </c>
      <c r="D129">
        <v>0.82599412999999999</v>
      </c>
      <c r="E129">
        <v>0.82019393500000004</v>
      </c>
      <c r="F129">
        <v>0.72265386300000001</v>
      </c>
      <c r="G129">
        <v>0.71810720500000003</v>
      </c>
      <c r="H129">
        <v>0.77186893000000001</v>
      </c>
      <c r="I129">
        <v>0.76812907699999999</v>
      </c>
      <c r="J129">
        <v>0.79916218999999999</v>
      </c>
      <c r="K129">
        <v>0.79586976549999999</v>
      </c>
      <c r="L129" s="50">
        <f t="shared" si="2"/>
        <v>0.83190030800000003</v>
      </c>
      <c r="M129" s="48">
        <f>LARGE((C129,E129,G129,I129,K129),2)</f>
        <v>0.82019393500000004</v>
      </c>
      <c r="N129" s="52">
        <f t="shared" si="3"/>
        <v>1.4071845974121207E-2</v>
      </c>
      <c r="O129" s="3" t="s">
        <v>126</v>
      </c>
    </row>
    <row r="130" spans="1:15" x14ac:dyDescent="0.3">
      <c r="A130" t="s">
        <v>17</v>
      </c>
      <c r="B130">
        <v>0.36286309</v>
      </c>
      <c r="C130">
        <v>0.33028222899999998</v>
      </c>
      <c r="D130">
        <v>0.33925566000000001</v>
      </c>
      <c r="E130">
        <v>0.31710780599999999</v>
      </c>
      <c r="F130">
        <v>0.295427944</v>
      </c>
      <c r="G130">
        <v>0.28381411899999998</v>
      </c>
      <c r="H130">
        <v>0.27131018000000001</v>
      </c>
      <c r="I130">
        <v>0.25929880500000002</v>
      </c>
      <c r="J130">
        <v>0.31736007999999999</v>
      </c>
      <c r="K130">
        <v>0.30610777420000002</v>
      </c>
      <c r="L130" s="50">
        <f t="shared" si="2"/>
        <v>0.33028222899999998</v>
      </c>
      <c r="M130" s="48">
        <f>LARGE((C130,E130,G130,I130,K130),2)</f>
        <v>0.31710780599999999</v>
      </c>
      <c r="N130" s="52">
        <f t="shared" si="3"/>
        <v>3.988837982560664E-2</v>
      </c>
      <c r="O130" s="3" t="s">
        <v>126</v>
      </c>
    </row>
    <row r="131" spans="1:15" x14ac:dyDescent="0.3">
      <c r="A131" t="s">
        <v>34</v>
      </c>
      <c r="B131">
        <v>0.71722540000000001</v>
      </c>
      <c r="C131">
        <v>0.70259912599999996</v>
      </c>
      <c r="D131">
        <v>0.69617678999999999</v>
      </c>
      <c r="E131">
        <v>0.68587769600000004</v>
      </c>
      <c r="F131">
        <v>0.37880096000000002</v>
      </c>
      <c r="G131">
        <v>0.36844764200000002</v>
      </c>
      <c r="H131">
        <v>0.65928545999999999</v>
      </c>
      <c r="I131">
        <v>0.65360688499999997</v>
      </c>
      <c r="J131">
        <v>0.65945233000000003</v>
      </c>
      <c r="K131">
        <v>0.65377653840000005</v>
      </c>
      <c r="L131" s="50">
        <f t="shared" si="2"/>
        <v>0.70259912599999996</v>
      </c>
      <c r="M131" s="48">
        <f>LARGE((C131,E131,G131,I131,K131),2)</f>
        <v>0.68587769600000004</v>
      </c>
      <c r="N131" s="52">
        <f t="shared" si="3"/>
        <v>2.3799389127050988E-2</v>
      </c>
      <c r="O131" s="3" t="s">
        <v>126</v>
      </c>
    </row>
    <row r="132" spans="1:15" x14ac:dyDescent="0.3">
      <c r="A132" t="s">
        <v>16</v>
      </c>
      <c r="B132">
        <v>0.55194767</v>
      </c>
      <c r="C132">
        <v>0.528086893</v>
      </c>
      <c r="D132">
        <v>0.52890780999999998</v>
      </c>
      <c r="E132">
        <v>0.51247436599999996</v>
      </c>
      <c r="F132">
        <v>0.25502070500000001</v>
      </c>
      <c r="G132">
        <v>0.24224963099999999</v>
      </c>
      <c r="H132">
        <v>0.48395324000000001</v>
      </c>
      <c r="I132">
        <v>0.47510672199999998</v>
      </c>
      <c r="J132">
        <v>0.48457781</v>
      </c>
      <c r="K132">
        <v>0.4757420054</v>
      </c>
      <c r="L132" s="50">
        <f t="shared" si="2"/>
        <v>0.528086893</v>
      </c>
      <c r="M132" s="48">
        <f>LARGE((C132,E132,G132,I132,K132),2)</f>
        <v>0.51247436599999996</v>
      </c>
      <c r="N132" s="52">
        <f t="shared" si="3"/>
        <v>2.9564314522761773E-2</v>
      </c>
      <c r="O132" s="3" t="s">
        <v>126</v>
      </c>
    </row>
    <row r="133" spans="1:15" x14ac:dyDescent="0.3">
      <c r="A133" t="s">
        <v>12</v>
      </c>
      <c r="B133">
        <v>0.61717664000000005</v>
      </c>
      <c r="C133">
        <v>0.59666824600000001</v>
      </c>
      <c r="D133">
        <v>0.60873421000000005</v>
      </c>
      <c r="E133">
        <v>0.59500559099999994</v>
      </c>
      <c r="F133">
        <v>0.33779865100000001</v>
      </c>
      <c r="G133">
        <v>0.32638138700000002</v>
      </c>
      <c r="H133">
        <v>0.47851841000000001</v>
      </c>
      <c r="I133">
        <v>0.46952735299999998</v>
      </c>
      <c r="J133">
        <v>0.50586355000000005</v>
      </c>
      <c r="K133">
        <v>0.497343959</v>
      </c>
      <c r="L133" s="50">
        <f t="shared" si="2"/>
        <v>0.59666824600000001</v>
      </c>
      <c r="M133" s="48">
        <f>LARGE((C133,E133,G133,I133,K133),2)</f>
        <v>0.59500559099999994</v>
      </c>
      <c r="N133" s="52">
        <f t="shared" si="3"/>
        <v>2.7865652498625985E-3</v>
      </c>
      <c r="O133" s="3" t="s">
        <v>126</v>
      </c>
    </row>
    <row r="134" spans="1:15" x14ac:dyDescent="0.3">
      <c r="A134" t="s">
        <v>35</v>
      </c>
      <c r="B134">
        <v>0.41024153000000002</v>
      </c>
      <c r="C134">
        <v>0.37826667200000003</v>
      </c>
      <c r="D134">
        <v>0.36256860000000002</v>
      </c>
      <c r="E134">
        <v>0.33993789400000002</v>
      </c>
      <c r="F134">
        <v>0.16855131200000001</v>
      </c>
      <c r="G134">
        <v>0.1540493</v>
      </c>
      <c r="H134">
        <v>0.28704786999999998</v>
      </c>
      <c r="I134">
        <v>0.27461266000000001</v>
      </c>
      <c r="J134">
        <v>0.29911357999999999</v>
      </c>
      <c r="K134">
        <v>0.28688881960000001</v>
      </c>
      <c r="L134" s="50">
        <f t="shared" si="2"/>
        <v>0.37826667200000003</v>
      </c>
      <c r="M134" s="48">
        <f>LARGE((C134,E134,G134,I134,K134),2)</f>
        <v>0.33993789400000002</v>
      </c>
      <c r="N134" s="52">
        <f t="shared" si="3"/>
        <v>0.10132739899432643</v>
      </c>
      <c r="O134" s="3" t="s">
        <v>125</v>
      </c>
    </row>
    <row r="135" spans="1:15" x14ac:dyDescent="0.3">
      <c r="A135" t="s">
        <v>36</v>
      </c>
      <c r="B135">
        <v>0.43657800000000002</v>
      </c>
      <c r="C135">
        <v>0.40468619300000003</v>
      </c>
      <c r="D135">
        <v>0.40713695</v>
      </c>
      <c r="E135">
        <v>0.38517905899999999</v>
      </c>
      <c r="F135">
        <v>0.39421784599999998</v>
      </c>
      <c r="G135">
        <v>0.38320362499999999</v>
      </c>
      <c r="H135">
        <v>0.28813079000000003</v>
      </c>
      <c r="I135">
        <v>0.27518771800000003</v>
      </c>
      <c r="J135">
        <v>0.30599106999999998</v>
      </c>
      <c r="K135">
        <v>0.29337272479999998</v>
      </c>
      <c r="L135" s="50">
        <f t="shared" si="2"/>
        <v>0.40468619300000003</v>
      </c>
      <c r="M135" s="48">
        <f>LARGE((C135,E135,G135,I135,K135),2)</f>
        <v>0.38517905899999999</v>
      </c>
      <c r="N135" s="52">
        <f t="shared" si="3"/>
        <v>4.8203112281619241E-2</v>
      </c>
      <c r="O135" s="3" t="s">
        <v>126</v>
      </c>
    </row>
    <row r="136" spans="1:15" x14ac:dyDescent="0.3">
      <c r="A136" t="s">
        <v>11</v>
      </c>
      <c r="B136">
        <v>0.71430020000000005</v>
      </c>
      <c r="C136">
        <v>0.69802616500000003</v>
      </c>
      <c r="D136">
        <v>0.68523352000000004</v>
      </c>
      <c r="E136">
        <v>0.673503089</v>
      </c>
      <c r="F136">
        <v>0.47026952900000002</v>
      </c>
      <c r="G136">
        <v>0.460579338</v>
      </c>
      <c r="H136">
        <v>0.67012532999999996</v>
      </c>
      <c r="I136">
        <v>0.66409103800000002</v>
      </c>
      <c r="J136">
        <v>0.66744360000000003</v>
      </c>
      <c r="K136">
        <v>0.66136024869999999</v>
      </c>
      <c r="L136" s="50">
        <f t="shared" si="2"/>
        <v>0.69802616500000003</v>
      </c>
      <c r="M136" s="48">
        <f>LARGE((C136,E136,G136,I136,K136),2)</f>
        <v>0.673503089</v>
      </c>
      <c r="N136" s="52">
        <f t="shared" si="3"/>
        <v>3.5132029757079422E-2</v>
      </c>
      <c r="O136" s="3" t="s">
        <v>126</v>
      </c>
    </row>
    <row r="137" spans="1:15" x14ac:dyDescent="0.3">
      <c r="A137" t="s">
        <v>33</v>
      </c>
      <c r="B137">
        <v>0.71469822000000005</v>
      </c>
      <c r="C137">
        <v>0.69813231099999995</v>
      </c>
      <c r="D137">
        <v>0.70621975999999997</v>
      </c>
      <c r="E137">
        <v>0.69506355200000003</v>
      </c>
      <c r="F137">
        <v>0.61443354299999997</v>
      </c>
      <c r="G137">
        <v>0.60724907500000003</v>
      </c>
      <c r="H137">
        <v>0.66164445000000005</v>
      </c>
      <c r="I137">
        <v>0.65533968600000003</v>
      </c>
      <c r="J137">
        <v>0.68345933999999997</v>
      </c>
      <c r="K137">
        <v>0.67756106920000003</v>
      </c>
      <c r="L137" s="50">
        <f t="shared" si="2"/>
        <v>0.69813231099999995</v>
      </c>
      <c r="M137" s="48">
        <f>LARGE((C137,E137,G137,I137,K137),2)</f>
        <v>0.69506355200000003</v>
      </c>
      <c r="N137" s="52">
        <f t="shared" si="3"/>
        <v>4.3956696340329117E-3</v>
      </c>
      <c r="O137" s="3" t="s">
        <v>126</v>
      </c>
    </row>
    <row r="138" spans="1:15" x14ac:dyDescent="0.3">
      <c r="A138" t="s">
        <v>10</v>
      </c>
      <c r="B138">
        <v>0.71510189999999996</v>
      </c>
      <c r="C138">
        <v>0.69845201099999998</v>
      </c>
      <c r="D138">
        <v>0.70495101000000004</v>
      </c>
      <c r="E138">
        <v>0.69367525200000002</v>
      </c>
      <c r="F138">
        <v>0.48970665099999999</v>
      </c>
      <c r="G138">
        <v>0.48013865100000003</v>
      </c>
      <c r="H138">
        <v>0.68973994000000005</v>
      </c>
      <c r="I138">
        <v>0.68392256299999998</v>
      </c>
      <c r="J138">
        <v>0.68945732000000004</v>
      </c>
      <c r="K138">
        <v>0.68363464689999998</v>
      </c>
      <c r="L138" s="50">
        <f t="shared" si="2"/>
        <v>0.69845201099999998</v>
      </c>
      <c r="M138" s="48">
        <f>LARGE((C138,E138,G138,I138,K138),2)</f>
        <v>0.69367525200000002</v>
      </c>
      <c r="N138" s="52">
        <f t="shared" si="3"/>
        <v>6.839065425784799E-3</v>
      </c>
      <c r="O138" s="3" t="s">
        <v>126</v>
      </c>
    </row>
    <row r="139" spans="1:15" x14ac:dyDescent="0.3">
      <c r="A139" s="8" t="s">
        <v>13</v>
      </c>
      <c r="B139">
        <v>6.7793010000000001E-2</v>
      </c>
      <c r="C139">
        <v>1.3313380999999999E-2</v>
      </c>
      <c r="D139">
        <v>5.6186439999999997E-2</v>
      </c>
      <c r="E139">
        <v>2.0117126999999999E-2</v>
      </c>
      <c r="F139">
        <v>4.7529810999999998E-2</v>
      </c>
      <c r="G139">
        <v>2.9670994999999999E-2</v>
      </c>
      <c r="H139">
        <v>4.5046049999999997E-2</v>
      </c>
      <c r="I139">
        <v>2.7140666000000001E-2</v>
      </c>
      <c r="J139">
        <v>5.5453240000000001E-2</v>
      </c>
      <c r="K139">
        <v>3.7742985600000001E-2</v>
      </c>
      <c r="L139" s="51">
        <f t="shared" si="2"/>
        <v>3.7742985600000001E-2</v>
      </c>
      <c r="M139" s="49">
        <f>LARGE((C139,E139,G139,I139,K139),2)</f>
        <v>2.9670994999999999E-2</v>
      </c>
      <c r="N139" s="53">
        <f t="shared" si="3"/>
        <v>0.2138673046575309</v>
      </c>
      <c r="O139" s="3"/>
    </row>
    <row r="140" spans="1:15" x14ac:dyDescent="0.3">
      <c r="A140" s="8" t="s">
        <v>37</v>
      </c>
      <c r="B140">
        <v>7.7483960000000004E-2</v>
      </c>
      <c r="C140">
        <v>1.9423513999999999E-2</v>
      </c>
      <c r="D140">
        <v>4.2191029999999997E-2</v>
      </c>
      <c r="E140">
        <v>2.829022E-3</v>
      </c>
      <c r="F140">
        <v>1.5197781E-2</v>
      </c>
      <c r="G140">
        <v>-4.6304520000000002E-3</v>
      </c>
      <c r="H140">
        <v>2.8869369999999998E-2</v>
      </c>
      <c r="I140">
        <v>9.3164089999999995E-3</v>
      </c>
      <c r="J140">
        <v>1.5891010000000001E-2</v>
      </c>
      <c r="K140">
        <v>-3.9232681000000002E-3</v>
      </c>
      <c r="L140" s="51">
        <f t="shared" si="2"/>
        <v>1.9423513999999999E-2</v>
      </c>
      <c r="M140" s="49">
        <f>LARGE((C140,E140,G140,I140,K140),2)</f>
        <v>9.3164089999999995E-3</v>
      </c>
      <c r="N140" s="53">
        <f t="shared" si="3"/>
        <v>0.5203540924675113</v>
      </c>
      <c r="O140" s="3"/>
    </row>
    <row r="141" spans="1:15" x14ac:dyDescent="0.3">
      <c r="A141" t="s">
        <v>39</v>
      </c>
      <c r="B141">
        <v>0.32211118999999999</v>
      </c>
      <c r="C141">
        <v>0.27553867799999998</v>
      </c>
      <c r="D141">
        <v>0.31435220000000003</v>
      </c>
      <c r="E141">
        <v>0.283651553</v>
      </c>
      <c r="F141">
        <v>0.15599575600000001</v>
      </c>
      <c r="G141">
        <v>0.13751391099999999</v>
      </c>
      <c r="H141">
        <v>0.15041676000000001</v>
      </c>
      <c r="I141">
        <v>0.13181275200000001</v>
      </c>
      <c r="J141">
        <v>0.16556546999999999</v>
      </c>
      <c r="K141">
        <v>0.14729318450000001</v>
      </c>
      <c r="L141" s="50">
        <f t="shared" si="2"/>
        <v>0.283651553</v>
      </c>
      <c r="M141" s="48">
        <f>LARGE((C141,E141,G141,I141,K141),2)</f>
        <v>0.27553867799999998</v>
      </c>
      <c r="N141" s="52">
        <f t="shared" si="3"/>
        <v>2.8601553258550357E-2</v>
      </c>
      <c r="O141" s="3" t="s">
        <v>126</v>
      </c>
    </row>
    <row r="142" spans="1:15" x14ac:dyDescent="0.3">
      <c r="A142" t="s">
        <v>15</v>
      </c>
      <c r="B142">
        <v>0.65507234999999997</v>
      </c>
      <c r="C142">
        <v>0.63043465700000001</v>
      </c>
      <c r="D142">
        <v>0.60880564000000004</v>
      </c>
      <c r="E142">
        <v>0.59061055399999995</v>
      </c>
      <c r="F142">
        <v>0.41884480299999999</v>
      </c>
      <c r="G142">
        <v>0.40563673</v>
      </c>
      <c r="H142">
        <v>0.51386726999999999</v>
      </c>
      <c r="I142">
        <v>0.50281879799999996</v>
      </c>
      <c r="J142">
        <v>0.57802350999999996</v>
      </c>
      <c r="K142">
        <v>0.56843313360000003</v>
      </c>
      <c r="L142" s="50">
        <f t="shared" si="2"/>
        <v>0.63043465700000001</v>
      </c>
      <c r="M142" s="48">
        <f>LARGE((C142,E142,G142,I142,K142),2)</f>
        <v>0.59061055399999995</v>
      </c>
      <c r="N142" s="52">
        <f t="shared" si="3"/>
        <v>6.3169279413520657E-2</v>
      </c>
      <c r="O142" s="3" t="s">
        <v>125</v>
      </c>
    </row>
    <row r="143" spans="1:15" x14ac:dyDescent="0.3">
      <c r="A143" t="s">
        <v>42</v>
      </c>
      <c r="B143">
        <v>0.45279754999999999</v>
      </c>
      <c r="C143">
        <v>0.41034219199999999</v>
      </c>
      <c r="D143">
        <v>0.45250631000000002</v>
      </c>
      <c r="E143">
        <v>0.424901588</v>
      </c>
      <c r="F143">
        <v>0.38007155599999998</v>
      </c>
      <c r="G143">
        <v>0.36482741400000002</v>
      </c>
      <c r="H143">
        <v>0.42393012000000002</v>
      </c>
      <c r="I143">
        <v>0.40976446500000002</v>
      </c>
      <c r="J143">
        <v>0.44030248999999999</v>
      </c>
      <c r="K143">
        <v>0.42653943480000001</v>
      </c>
      <c r="L143" s="50">
        <f t="shared" si="2"/>
        <v>0.42653943480000001</v>
      </c>
      <c r="M143" s="48">
        <f>LARGE((C143,E143,G143,I143,K143),2)</f>
        <v>0.424901588</v>
      </c>
      <c r="N143" s="52">
        <f t="shared" si="3"/>
        <v>3.839848479116541E-3</v>
      </c>
      <c r="O143" s="3" t="s">
        <v>126</v>
      </c>
    </row>
    <row r="144" spans="1:15" x14ac:dyDescent="0.3">
      <c r="A144" s="8" t="s">
        <v>47</v>
      </c>
      <c r="B144">
        <v>5.7508160000000003E-2</v>
      </c>
      <c r="C144">
        <v>-2.251473E-2</v>
      </c>
      <c r="D144">
        <v>3.8341010000000002E-2</v>
      </c>
      <c r="E144">
        <v>-1.4594351E-2</v>
      </c>
      <c r="F144">
        <v>1.6856495999999999E-2</v>
      </c>
      <c r="G144">
        <v>-9.4777049999999995E-3</v>
      </c>
      <c r="H144">
        <v>1.9170130000000001E-2</v>
      </c>
      <c r="I144">
        <v>-7.1020980000000003E-3</v>
      </c>
      <c r="J144">
        <v>2.650054E-2</v>
      </c>
      <c r="K144">
        <v>4.246664E-4</v>
      </c>
      <c r="L144" s="51">
        <f t="shared" si="2"/>
        <v>4.246664E-4</v>
      </c>
      <c r="M144" s="49">
        <f>LARGE((C144,E144,G144,I144,K144),2)</f>
        <v>-7.1020980000000003E-3</v>
      </c>
      <c r="N144" s="53">
        <f t="shared" si="3"/>
        <v>17.7239461374858</v>
      </c>
      <c r="O144" s="3"/>
    </row>
    <row r="145" spans="1:15" x14ac:dyDescent="0.3">
      <c r="A145" t="s">
        <v>40</v>
      </c>
      <c r="B145">
        <v>0.38952782000000002</v>
      </c>
      <c r="C145">
        <v>0.33403035199999997</v>
      </c>
      <c r="D145">
        <v>0.34272408999999998</v>
      </c>
      <c r="E145">
        <v>0.30406079899999999</v>
      </c>
      <c r="F145">
        <v>6.3055400999999997E-2</v>
      </c>
      <c r="G145">
        <v>3.6285554999999997E-2</v>
      </c>
      <c r="H145">
        <v>0.24671897000000001</v>
      </c>
      <c r="I145">
        <v>0.22519665699999999</v>
      </c>
      <c r="J145">
        <v>0.24152883</v>
      </c>
      <c r="K145">
        <v>0.21985822839999999</v>
      </c>
      <c r="L145" s="50">
        <f t="shared" si="2"/>
        <v>0.33403035199999997</v>
      </c>
      <c r="M145" s="48">
        <f>LARGE((C145,E145,G145,I145,K145),2)</f>
        <v>0.30406079899999999</v>
      </c>
      <c r="N145" s="52">
        <f t="shared" si="3"/>
        <v>8.9721047265788542E-2</v>
      </c>
      <c r="O145" s="3" t="s">
        <v>125</v>
      </c>
    </row>
    <row r="146" spans="1:15" x14ac:dyDescent="0.3">
      <c r="A146" t="s">
        <v>38</v>
      </c>
      <c r="B146">
        <v>0.23535848000000001</v>
      </c>
      <c r="C146">
        <v>0.160556595</v>
      </c>
      <c r="D146">
        <v>0.22927212999999999</v>
      </c>
      <c r="E146">
        <v>0.18059457800000001</v>
      </c>
      <c r="F146">
        <v>0.183947796</v>
      </c>
      <c r="G146">
        <v>0.15896660600000001</v>
      </c>
      <c r="H146">
        <v>0.16232949999999999</v>
      </c>
      <c r="I146">
        <v>0.136686522</v>
      </c>
      <c r="J146">
        <v>0.22609920999999999</v>
      </c>
      <c r="K146">
        <v>0.20240836940000001</v>
      </c>
      <c r="L146" s="50">
        <f t="shared" si="2"/>
        <v>0.20240836940000001</v>
      </c>
      <c r="M146" s="48">
        <f>LARGE((C146,E146,G146,I146,K146),2)</f>
        <v>0.18059457800000001</v>
      </c>
      <c r="N146" s="52">
        <f t="shared" si="3"/>
        <v>0.10777119278546989</v>
      </c>
      <c r="O146" s="3" t="s">
        <v>125</v>
      </c>
    </row>
  </sheetData>
  <autoFilter ref="A54:K82"/>
  <mergeCells count="7">
    <mergeCell ref="L117:L118"/>
    <mergeCell ref="A85:K85"/>
    <mergeCell ref="B117:C117"/>
    <mergeCell ref="D117:E117"/>
    <mergeCell ref="F117:G117"/>
    <mergeCell ref="H117:I117"/>
    <mergeCell ref="J117:K117"/>
  </mergeCells>
  <conditionalFormatting sqref="B119:K119">
    <cfRule type="cellIs" dxfId="3" priority="5" operator="equal">
      <formula>$L$119</formula>
    </cfRule>
  </conditionalFormatting>
  <conditionalFormatting sqref="B120:K146">
    <cfRule type="cellIs" dxfId="2" priority="3" operator="equal">
      <formula>$L$119</formula>
    </cfRule>
  </conditionalFormatting>
  <conditionalFormatting sqref="B119:K146">
    <cfRule type="cellIs" dxfId="1" priority="2" operator="equal">
      <formula>$L119</formula>
    </cfRule>
  </conditionalFormatting>
  <conditionalFormatting sqref="B119:K146">
    <cfRule type="cellIs" dxfId="0" priority="1" operator="equal">
      <formula>$M119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22"/>
  <sheetViews>
    <sheetView topLeftCell="A88" workbookViewId="0">
      <selection activeCell="A92" sqref="A92:C92"/>
    </sheetView>
  </sheetViews>
  <sheetFormatPr defaultRowHeight="14.4" x14ac:dyDescent="0.3"/>
  <cols>
    <col min="4" max="4" width="10.5546875" customWidth="1"/>
    <col min="8" max="8" width="9.6640625" customWidth="1"/>
    <col min="9" max="10" width="10.6640625" bestFit="1" customWidth="1"/>
    <col min="13" max="13" width="11.21875" customWidth="1"/>
    <col min="20" max="20" width="20.77734375" customWidth="1"/>
  </cols>
  <sheetData>
    <row r="2" spans="1:8" x14ac:dyDescent="0.3">
      <c r="A2" s="4" t="s">
        <v>71</v>
      </c>
      <c r="B2" s="4"/>
      <c r="C2" s="4"/>
      <c r="D2" s="4"/>
      <c r="E2" s="4"/>
      <c r="F2" s="4"/>
      <c r="G2" s="4"/>
      <c r="H2" s="4"/>
    </row>
    <row r="4" spans="1:8" x14ac:dyDescent="0.3">
      <c r="A4" s="6" t="s">
        <v>7</v>
      </c>
      <c r="B4" s="6" t="s">
        <v>18</v>
      </c>
      <c r="C4" s="6" t="s">
        <v>8</v>
      </c>
      <c r="D4" s="6" t="s">
        <v>9</v>
      </c>
      <c r="E4" s="6" t="s">
        <v>19</v>
      </c>
      <c r="F4" s="6" t="s">
        <v>14</v>
      </c>
      <c r="G4" s="6" t="s">
        <v>16</v>
      </c>
      <c r="H4" s="6" t="s">
        <v>20</v>
      </c>
    </row>
    <row r="5" spans="1:8" x14ac:dyDescent="0.3">
      <c r="A5" s="3">
        <v>175</v>
      </c>
      <c r="B5" s="3">
        <v>174</v>
      </c>
      <c r="C5" s="3">
        <v>170</v>
      </c>
      <c r="D5" s="3">
        <v>168</v>
      </c>
      <c r="E5" s="3">
        <v>161</v>
      </c>
      <c r="F5" s="3">
        <v>161</v>
      </c>
      <c r="G5" s="3">
        <v>159</v>
      </c>
      <c r="H5" s="3">
        <v>157</v>
      </c>
    </row>
    <row r="6" spans="1:8" ht="30" customHeight="1" x14ac:dyDescent="0.3">
      <c r="A6" s="6" t="s">
        <v>22</v>
      </c>
      <c r="B6" s="6" t="s">
        <v>12</v>
      </c>
      <c r="C6" s="6" t="s">
        <v>24</v>
      </c>
      <c r="D6" s="6" t="s">
        <v>21</v>
      </c>
      <c r="E6" s="6" t="s">
        <v>23</v>
      </c>
      <c r="F6" s="6" t="s">
        <v>33</v>
      </c>
      <c r="G6" s="6" t="s">
        <v>34</v>
      </c>
      <c r="H6" s="6" t="s">
        <v>17</v>
      </c>
    </row>
    <row r="7" spans="1:8" x14ac:dyDescent="0.3">
      <c r="A7" s="3">
        <v>147</v>
      </c>
      <c r="B7" s="3">
        <v>144</v>
      </c>
      <c r="C7" s="3">
        <v>143</v>
      </c>
      <c r="D7" s="3">
        <v>139</v>
      </c>
      <c r="E7" s="3">
        <v>131</v>
      </c>
      <c r="F7" s="3">
        <v>123</v>
      </c>
      <c r="G7" s="3">
        <v>121</v>
      </c>
      <c r="H7" s="3">
        <v>120</v>
      </c>
    </row>
    <row r="8" spans="1:8" ht="30" customHeight="1" x14ac:dyDescent="0.3">
      <c r="A8" s="6" t="s">
        <v>35</v>
      </c>
      <c r="B8" s="6" t="s">
        <v>15</v>
      </c>
      <c r="C8" s="6" t="s">
        <v>11</v>
      </c>
      <c r="D8" s="6" t="s">
        <v>10</v>
      </c>
      <c r="E8" s="2" t="s">
        <v>36</v>
      </c>
      <c r="F8" s="2" t="s">
        <v>37</v>
      </c>
      <c r="G8" s="2" t="s">
        <v>38</v>
      </c>
      <c r="H8" s="2" t="s">
        <v>13</v>
      </c>
    </row>
    <row r="9" spans="1:8" x14ac:dyDescent="0.3">
      <c r="A9" s="3">
        <v>116</v>
      </c>
      <c r="B9" s="3">
        <v>108</v>
      </c>
      <c r="C9" s="3">
        <v>102</v>
      </c>
      <c r="D9" s="3">
        <v>100</v>
      </c>
      <c r="E9" s="3">
        <v>97</v>
      </c>
      <c r="F9" s="3">
        <v>96</v>
      </c>
      <c r="G9" s="3">
        <v>89</v>
      </c>
      <c r="H9" s="3">
        <v>89</v>
      </c>
    </row>
    <row r="10" spans="1:8" s="1" customFormat="1" ht="30" customHeight="1" x14ac:dyDescent="0.3">
      <c r="A10" s="2" t="s">
        <v>39</v>
      </c>
      <c r="B10" s="2" t="s">
        <v>40</v>
      </c>
      <c r="C10" s="2" t="s">
        <v>41</v>
      </c>
      <c r="D10" s="2" t="s">
        <v>42</v>
      </c>
      <c r="E10" s="2" t="s">
        <v>43</v>
      </c>
      <c r="F10" s="2" t="s">
        <v>44</v>
      </c>
      <c r="G10" s="2" t="s">
        <v>45</v>
      </c>
      <c r="H10" s="2" t="s">
        <v>46</v>
      </c>
    </row>
    <row r="11" spans="1:8" x14ac:dyDescent="0.3">
      <c r="A11" s="3">
        <v>89</v>
      </c>
      <c r="B11" s="3">
        <v>86</v>
      </c>
      <c r="C11" s="3">
        <v>82</v>
      </c>
      <c r="D11" s="3">
        <v>82</v>
      </c>
      <c r="E11" s="3">
        <v>73</v>
      </c>
      <c r="F11" s="3">
        <v>71</v>
      </c>
      <c r="G11" s="3">
        <v>71</v>
      </c>
      <c r="H11" s="3">
        <v>68</v>
      </c>
    </row>
    <row r="12" spans="1:8" ht="30" customHeight="1" x14ac:dyDescent="0.3">
      <c r="A12" s="2" t="s">
        <v>47</v>
      </c>
      <c r="B12" s="2" t="s">
        <v>48</v>
      </c>
      <c r="C12" s="2" t="s">
        <v>49</v>
      </c>
      <c r="D12" s="2" t="s">
        <v>50</v>
      </c>
      <c r="E12" s="2" t="s">
        <v>51</v>
      </c>
      <c r="F12" s="2" t="s">
        <v>52</v>
      </c>
      <c r="G12" s="2" t="s">
        <v>53</v>
      </c>
      <c r="H12" s="2" t="s">
        <v>54</v>
      </c>
    </row>
    <row r="13" spans="1:8" x14ac:dyDescent="0.3">
      <c r="A13" s="3">
        <v>64</v>
      </c>
      <c r="B13" s="3">
        <v>61</v>
      </c>
      <c r="C13" s="3">
        <v>60</v>
      </c>
      <c r="D13" s="3">
        <v>60</v>
      </c>
      <c r="E13" s="3">
        <v>55</v>
      </c>
      <c r="F13" s="3">
        <v>46</v>
      </c>
      <c r="G13" s="3">
        <v>46</v>
      </c>
      <c r="H13" s="3">
        <v>45</v>
      </c>
    </row>
    <row r="14" spans="1:8" ht="30" customHeight="1" x14ac:dyDescent="0.3">
      <c r="A14" s="2" t="s">
        <v>55</v>
      </c>
      <c r="B14" s="2" t="s">
        <v>56</v>
      </c>
      <c r="C14" s="2" t="s">
        <v>57</v>
      </c>
      <c r="D14" s="2" t="s">
        <v>58</v>
      </c>
      <c r="E14" s="2" t="s">
        <v>59</v>
      </c>
      <c r="F14" s="2" t="s">
        <v>60</v>
      </c>
      <c r="G14" s="2" t="s">
        <v>61</v>
      </c>
      <c r="H14" s="2" t="s">
        <v>62</v>
      </c>
    </row>
    <row r="15" spans="1:8" x14ac:dyDescent="0.3">
      <c r="A15" s="3">
        <v>35</v>
      </c>
      <c r="B15" s="3">
        <v>29</v>
      </c>
      <c r="C15" s="3">
        <v>25</v>
      </c>
      <c r="D15" s="3">
        <v>23</v>
      </c>
      <c r="E15" s="3">
        <v>20</v>
      </c>
      <c r="F15" s="3">
        <v>19</v>
      </c>
      <c r="G15" s="3">
        <v>16</v>
      </c>
      <c r="H15" s="3">
        <v>12</v>
      </c>
    </row>
    <row r="16" spans="1:8" ht="30" customHeight="1" x14ac:dyDescent="0.3">
      <c r="A16" s="2" t="s">
        <v>63</v>
      </c>
      <c r="B16" s="2" t="s">
        <v>64</v>
      </c>
      <c r="C16" s="2" t="s">
        <v>65</v>
      </c>
      <c r="D16" s="2" t="s">
        <v>66</v>
      </c>
      <c r="E16" s="2" t="s">
        <v>67</v>
      </c>
      <c r="F16" s="2" t="s">
        <v>68</v>
      </c>
      <c r="G16" s="2" t="s">
        <v>69</v>
      </c>
      <c r="H16" s="2" t="s">
        <v>70</v>
      </c>
    </row>
    <row r="17" spans="1:16" x14ac:dyDescent="0.3">
      <c r="A17" s="3">
        <v>12</v>
      </c>
      <c r="B17" s="3">
        <v>10</v>
      </c>
      <c r="C17" s="3">
        <v>10</v>
      </c>
      <c r="D17" s="3">
        <v>10</v>
      </c>
      <c r="E17" s="3">
        <v>5</v>
      </c>
      <c r="F17" s="3">
        <v>3</v>
      </c>
      <c r="G17" s="3">
        <v>3</v>
      </c>
      <c r="H17" s="3">
        <v>0</v>
      </c>
    </row>
    <row r="19" spans="1:16" x14ac:dyDescent="0.3">
      <c r="A19" s="27" t="s">
        <v>80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N19" s="22" t="s">
        <v>94</v>
      </c>
      <c r="O19" s="22"/>
      <c r="P19" s="14"/>
    </row>
    <row r="20" spans="1:16" x14ac:dyDescent="0.3">
      <c r="A20" t="s">
        <v>0</v>
      </c>
      <c r="B20" s="3" t="s">
        <v>3</v>
      </c>
      <c r="C20" s="3" t="s">
        <v>72</v>
      </c>
      <c r="D20" s="3" t="s">
        <v>73</v>
      </c>
      <c r="E20" s="3" t="s">
        <v>74</v>
      </c>
      <c r="F20" s="3" t="s">
        <v>75</v>
      </c>
      <c r="G20" s="3" t="s">
        <v>76</v>
      </c>
      <c r="H20" s="7" t="s">
        <v>77</v>
      </c>
      <c r="I20" s="3" t="s">
        <v>78</v>
      </c>
      <c r="J20" s="7" t="s">
        <v>79</v>
      </c>
      <c r="K20" t="s">
        <v>28</v>
      </c>
      <c r="L20" s="3" t="s">
        <v>84</v>
      </c>
      <c r="M20" t="s">
        <v>93</v>
      </c>
      <c r="N20" s="23" t="s">
        <v>32</v>
      </c>
      <c r="O20" s="23" t="s">
        <v>28</v>
      </c>
      <c r="P20" s="3" t="s">
        <v>82</v>
      </c>
    </row>
    <row r="21" spans="1:16" x14ac:dyDescent="0.3">
      <c r="A21" s="15" t="s">
        <v>7</v>
      </c>
      <c r="B21" s="3" t="s">
        <v>29</v>
      </c>
      <c r="C21" s="3"/>
      <c r="D21" s="3"/>
      <c r="E21" s="3" t="s">
        <v>29</v>
      </c>
      <c r="F21" s="3" t="s">
        <v>29</v>
      </c>
      <c r="G21" s="3" t="s">
        <v>29</v>
      </c>
      <c r="H21" s="7" t="s">
        <v>29</v>
      </c>
      <c r="I21" s="3"/>
      <c r="J21" s="7" t="s">
        <v>29</v>
      </c>
      <c r="K21">
        <v>0.49597882999999998</v>
      </c>
      <c r="L21">
        <f t="shared" ref="L21:L40" si="0">COUNTIF(B21:J21,"X")</f>
        <v>6</v>
      </c>
      <c r="N21">
        <v>0.51397371000000003</v>
      </c>
      <c r="O21">
        <v>0.48746318</v>
      </c>
      <c r="P21" s="5">
        <f>(K21-O21)/K21</f>
        <v>1.7169382007695744E-2</v>
      </c>
    </row>
    <row r="22" spans="1:16" x14ac:dyDescent="0.3">
      <c r="A22" s="8" t="s">
        <v>18</v>
      </c>
      <c r="B22" s="3"/>
      <c r="C22" s="3"/>
      <c r="D22" s="3" t="s">
        <v>29</v>
      </c>
      <c r="E22" s="3"/>
      <c r="F22" s="3" t="s">
        <v>29</v>
      </c>
      <c r="G22" s="3" t="s">
        <v>29</v>
      </c>
      <c r="H22" s="7" t="s">
        <v>29</v>
      </c>
      <c r="I22" s="3"/>
      <c r="J22" s="7"/>
      <c r="K22">
        <v>0.14905921999999999</v>
      </c>
      <c r="L22" s="8">
        <f t="shared" si="0"/>
        <v>4</v>
      </c>
      <c r="N22" s="8">
        <v>0.17091360999999999</v>
      </c>
      <c r="O22">
        <v>0.12541496999999999</v>
      </c>
      <c r="P22" s="5"/>
    </row>
    <row r="23" spans="1:16" x14ac:dyDescent="0.3">
      <c r="A23" s="17" t="s">
        <v>8</v>
      </c>
      <c r="B23" s="18" t="s">
        <v>29</v>
      </c>
      <c r="C23" s="18"/>
      <c r="D23" s="18" t="s">
        <v>29</v>
      </c>
      <c r="E23" s="18" t="s">
        <v>29</v>
      </c>
      <c r="F23" s="18"/>
      <c r="G23" s="18" t="s">
        <v>29</v>
      </c>
      <c r="H23" s="19" t="s">
        <v>29</v>
      </c>
      <c r="I23" s="18"/>
      <c r="J23" s="19" t="s">
        <v>29</v>
      </c>
      <c r="K23" s="17">
        <v>0.31476583000000002</v>
      </c>
      <c r="L23" s="17">
        <f t="shared" si="0"/>
        <v>6</v>
      </c>
      <c r="M23" s="21" t="s">
        <v>92</v>
      </c>
      <c r="N23">
        <v>0.34280981999999999</v>
      </c>
      <c r="O23">
        <v>0.30584286999999999</v>
      </c>
      <c r="P23" s="5">
        <f t="shared" ref="P23:P40" si="1">(K23-O23)/K23</f>
        <v>2.8347930904698376E-2</v>
      </c>
    </row>
    <row r="24" spans="1:16" x14ac:dyDescent="0.3">
      <c r="A24" s="8" t="s">
        <v>9</v>
      </c>
      <c r="B24" s="3"/>
      <c r="C24" s="3" t="s">
        <v>29</v>
      </c>
      <c r="D24" s="3"/>
      <c r="E24" s="3" t="s">
        <v>29</v>
      </c>
      <c r="F24" s="3"/>
      <c r="G24" s="3"/>
      <c r="H24" s="7" t="s">
        <v>29</v>
      </c>
      <c r="I24" s="3"/>
      <c r="J24" s="7" t="s">
        <v>29</v>
      </c>
      <c r="K24">
        <v>0.13768622999999999</v>
      </c>
      <c r="L24" s="8">
        <f t="shared" si="0"/>
        <v>4</v>
      </c>
      <c r="N24" s="8">
        <v>0.16446412999999999</v>
      </c>
      <c r="O24">
        <v>0.11687031000000001</v>
      </c>
      <c r="P24" s="5"/>
    </row>
    <row r="25" spans="1:16" x14ac:dyDescent="0.3">
      <c r="A25" s="8" t="s">
        <v>19</v>
      </c>
      <c r="B25" s="3"/>
      <c r="C25" s="3" t="s">
        <v>29</v>
      </c>
      <c r="D25" s="3"/>
      <c r="E25" s="3" t="s">
        <v>29</v>
      </c>
      <c r="F25" s="3"/>
      <c r="G25" s="3"/>
      <c r="H25" s="7"/>
      <c r="I25" s="3"/>
      <c r="J25" s="7" t="s">
        <v>29</v>
      </c>
      <c r="K25">
        <v>8.1635509999999994E-2</v>
      </c>
      <c r="L25" s="8">
        <f t="shared" si="0"/>
        <v>3</v>
      </c>
      <c r="N25" s="8">
        <v>0.10433932999999999</v>
      </c>
      <c r="O25">
        <v>5.0955590000000002E-2</v>
      </c>
      <c r="P25" s="5"/>
    </row>
    <row r="26" spans="1:16" x14ac:dyDescent="0.3">
      <c r="A26" s="15" t="s">
        <v>14</v>
      </c>
      <c r="B26" s="3" t="s">
        <v>29</v>
      </c>
      <c r="C26" s="3"/>
      <c r="D26" s="3" t="s">
        <v>29</v>
      </c>
      <c r="E26" s="3" t="s">
        <v>29</v>
      </c>
      <c r="F26" s="3" t="s">
        <v>29</v>
      </c>
      <c r="G26" s="3" t="s">
        <v>29</v>
      </c>
      <c r="H26" s="7" t="s">
        <v>29</v>
      </c>
      <c r="I26" s="3"/>
      <c r="J26" s="7" t="s">
        <v>29</v>
      </c>
      <c r="K26">
        <v>0.64882229000000002</v>
      </c>
      <c r="L26">
        <f t="shared" si="0"/>
        <v>7</v>
      </c>
      <c r="N26">
        <v>0.66490075000000004</v>
      </c>
      <c r="O26">
        <v>0.64492793999999998</v>
      </c>
      <c r="P26" s="5">
        <f t="shared" si="1"/>
        <v>6.002182816499794E-3</v>
      </c>
    </row>
    <row r="27" spans="1:16" x14ac:dyDescent="0.3">
      <c r="A27" s="16" t="s">
        <v>16</v>
      </c>
      <c r="B27" s="3" t="s">
        <v>29</v>
      </c>
      <c r="C27" s="3" t="s">
        <v>29</v>
      </c>
      <c r="D27" s="3" t="s">
        <v>29</v>
      </c>
      <c r="E27" s="3" t="s">
        <v>29</v>
      </c>
      <c r="F27" s="3"/>
      <c r="G27" s="3"/>
      <c r="H27" s="7" t="s">
        <v>29</v>
      </c>
      <c r="I27" s="3"/>
      <c r="J27" s="7" t="s">
        <v>29</v>
      </c>
      <c r="K27">
        <v>0.65250063000000003</v>
      </c>
      <c r="L27">
        <f t="shared" si="0"/>
        <v>6</v>
      </c>
      <c r="N27">
        <v>0.66618730000000004</v>
      </c>
      <c r="O27">
        <v>0.64602411999999998</v>
      </c>
      <c r="P27" s="5">
        <f t="shared" si="1"/>
        <v>9.9256762403433178E-3</v>
      </c>
    </row>
    <row r="28" spans="1:16" x14ac:dyDescent="0.3">
      <c r="A28" s="8" t="s">
        <v>20</v>
      </c>
      <c r="B28" s="3"/>
      <c r="C28" s="3" t="s">
        <v>29</v>
      </c>
      <c r="D28" s="3"/>
      <c r="E28" s="3"/>
      <c r="F28" s="3"/>
      <c r="G28" s="3"/>
      <c r="H28" s="7" t="s">
        <v>29</v>
      </c>
      <c r="I28" s="3"/>
      <c r="J28" s="7"/>
      <c r="K28">
        <v>3.1221499999999999E-2</v>
      </c>
      <c r="L28" s="8">
        <f t="shared" si="0"/>
        <v>2</v>
      </c>
      <c r="N28" s="8">
        <v>4.7853470000000002E-2</v>
      </c>
      <c r="O28">
        <v>-1.0441209999999999E-2</v>
      </c>
      <c r="P28" s="5"/>
    </row>
    <row r="29" spans="1:16" x14ac:dyDescent="0.3">
      <c r="A29" s="16" t="s">
        <v>22</v>
      </c>
      <c r="B29" s="3" t="s">
        <v>29</v>
      </c>
      <c r="C29" s="3" t="s">
        <v>29</v>
      </c>
      <c r="D29" s="3"/>
      <c r="E29" s="3"/>
      <c r="F29" s="3" t="s">
        <v>29</v>
      </c>
      <c r="G29" s="3"/>
      <c r="H29" s="7" t="s">
        <v>29</v>
      </c>
      <c r="I29" s="3" t="s">
        <v>29</v>
      </c>
      <c r="J29" s="7" t="s">
        <v>29</v>
      </c>
      <c r="K29">
        <v>0.78485329999999998</v>
      </c>
      <c r="L29">
        <f t="shared" si="0"/>
        <v>6</v>
      </c>
      <c r="N29">
        <v>0.79482841999999998</v>
      </c>
      <c r="O29">
        <v>0.78134999999999999</v>
      </c>
      <c r="P29" s="5">
        <f t="shared" si="1"/>
        <v>4.463636707649681E-3</v>
      </c>
    </row>
    <row r="30" spans="1:16" x14ac:dyDescent="0.3">
      <c r="A30" s="16" t="s">
        <v>12</v>
      </c>
      <c r="B30" s="3" t="s">
        <v>29</v>
      </c>
      <c r="C30" s="3" t="s">
        <v>29</v>
      </c>
      <c r="D30" s="3"/>
      <c r="E30" s="3" t="s">
        <v>29</v>
      </c>
      <c r="F30" s="3"/>
      <c r="G30" s="3" t="s">
        <v>29</v>
      </c>
      <c r="H30" s="7" t="s">
        <v>29</v>
      </c>
      <c r="I30" s="3" t="s">
        <v>29</v>
      </c>
      <c r="J30" s="7" t="s">
        <v>29</v>
      </c>
      <c r="K30">
        <v>0.66794257999999995</v>
      </c>
      <c r="L30">
        <f t="shared" si="0"/>
        <v>7</v>
      </c>
      <c r="N30">
        <v>0.68572575000000002</v>
      </c>
      <c r="O30">
        <v>0.66461778000000005</v>
      </c>
      <c r="P30" s="5">
        <f t="shared" si="1"/>
        <v>4.9776733802476044E-3</v>
      </c>
    </row>
    <row r="31" spans="1:16" x14ac:dyDescent="0.3">
      <c r="A31" s="15" t="s">
        <v>24</v>
      </c>
      <c r="B31" s="3" t="s">
        <v>29</v>
      </c>
      <c r="C31" s="3"/>
      <c r="D31" s="3" t="s">
        <v>29</v>
      </c>
      <c r="E31" s="3" t="s">
        <v>29</v>
      </c>
      <c r="F31" s="3"/>
      <c r="G31" s="3" t="s">
        <v>29</v>
      </c>
      <c r="H31" s="7" t="s">
        <v>29</v>
      </c>
      <c r="I31" s="3"/>
      <c r="J31" s="7" t="s">
        <v>29</v>
      </c>
      <c r="K31">
        <v>0.84131948999999995</v>
      </c>
      <c r="L31">
        <f t="shared" si="0"/>
        <v>6</v>
      </c>
      <c r="N31">
        <v>0.84867088999999996</v>
      </c>
      <c r="O31">
        <v>0.83843056999999999</v>
      </c>
      <c r="P31" s="5">
        <f t="shared" si="1"/>
        <v>3.433796594917778E-3</v>
      </c>
    </row>
    <row r="32" spans="1:16" x14ac:dyDescent="0.3">
      <c r="A32" s="16" t="s">
        <v>21</v>
      </c>
      <c r="B32" s="3"/>
      <c r="C32" s="3" t="s">
        <v>29</v>
      </c>
      <c r="D32" s="3"/>
      <c r="E32" s="3"/>
      <c r="F32" s="3"/>
      <c r="G32" s="3"/>
      <c r="H32" s="7" t="s">
        <v>29</v>
      </c>
      <c r="I32" s="3"/>
      <c r="J32" s="7" t="s">
        <v>29</v>
      </c>
      <c r="K32">
        <v>0.50225642000000004</v>
      </c>
      <c r="L32">
        <f t="shared" si="0"/>
        <v>3</v>
      </c>
      <c r="N32">
        <v>0.52779662999999999</v>
      </c>
      <c r="O32">
        <v>0.49485221000000001</v>
      </c>
      <c r="P32" s="5">
        <f t="shared" si="1"/>
        <v>1.4741892199207771E-2</v>
      </c>
    </row>
    <row r="33" spans="1:16" x14ac:dyDescent="0.3">
      <c r="A33" s="17" t="s">
        <v>23</v>
      </c>
      <c r="B33" s="18"/>
      <c r="C33" s="18"/>
      <c r="D33" s="18" t="s">
        <v>29</v>
      </c>
      <c r="E33" s="18"/>
      <c r="F33" s="18" t="s">
        <v>29</v>
      </c>
      <c r="G33" s="18" t="s">
        <v>29</v>
      </c>
      <c r="H33" s="19" t="s">
        <v>29</v>
      </c>
      <c r="I33" s="18" t="s">
        <v>29</v>
      </c>
      <c r="J33" s="19" t="s">
        <v>29</v>
      </c>
      <c r="K33" s="17">
        <v>0.61341528999999995</v>
      </c>
      <c r="L33" s="17">
        <f t="shared" si="0"/>
        <v>6</v>
      </c>
      <c r="M33" s="21" t="s">
        <v>92</v>
      </c>
      <c r="N33">
        <v>0.63360444999999999</v>
      </c>
      <c r="O33">
        <v>0.60635189</v>
      </c>
      <c r="P33" s="5">
        <f t="shared" si="1"/>
        <v>1.1514874368390691E-2</v>
      </c>
    </row>
    <row r="34" spans="1:16" x14ac:dyDescent="0.3">
      <c r="A34" s="15" t="s">
        <v>33</v>
      </c>
      <c r="B34" s="3" t="s">
        <v>29</v>
      </c>
      <c r="C34" s="3" t="s">
        <v>29</v>
      </c>
      <c r="D34" s="3"/>
      <c r="E34" s="3" t="s">
        <v>29</v>
      </c>
      <c r="F34" s="3" t="s">
        <v>29</v>
      </c>
      <c r="G34" s="3"/>
      <c r="H34" s="7" t="s">
        <v>29</v>
      </c>
      <c r="I34" s="3"/>
      <c r="J34" s="7" t="s">
        <v>29</v>
      </c>
      <c r="K34">
        <v>0.71935037000000002</v>
      </c>
      <c r="L34">
        <f t="shared" si="0"/>
        <v>6</v>
      </c>
      <c r="N34">
        <v>0.73493489999999995</v>
      </c>
      <c r="O34">
        <v>0.71382352000000004</v>
      </c>
      <c r="P34" s="5">
        <f t="shared" si="1"/>
        <v>7.6831127507447751E-3</v>
      </c>
    </row>
    <row r="35" spans="1:16" x14ac:dyDescent="0.3">
      <c r="A35" s="16" t="s">
        <v>34</v>
      </c>
      <c r="B35" s="3" t="s">
        <v>29</v>
      </c>
      <c r="C35" s="3" t="s">
        <v>29</v>
      </c>
      <c r="D35" s="3" t="s">
        <v>29</v>
      </c>
      <c r="E35" s="3" t="s">
        <v>29</v>
      </c>
      <c r="F35" s="3"/>
      <c r="G35" s="3"/>
      <c r="H35" s="7" t="s">
        <v>29</v>
      </c>
      <c r="I35" s="3"/>
      <c r="J35" s="7"/>
      <c r="K35">
        <v>0.79495139000000004</v>
      </c>
      <c r="L35">
        <f t="shared" si="0"/>
        <v>5</v>
      </c>
      <c r="N35">
        <v>0.80657162000000004</v>
      </c>
      <c r="O35">
        <v>0.79088824000000002</v>
      </c>
      <c r="P35" s="5">
        <f t="shared" si="1"/>
        <v>5.1111930252741812E-3</v>
      </c>
    </row>
    <row r="36" spans="1:16" x14ac:dyDescent="0.3">
      <c r="A36" s="15" t="s">
        <v>17</v>
      </c>
      <c r="B36" s="3" t="s">
        <v>29</v>
      </c>
      <c r="C36" s="3"/>
      <c r="D36" s="3"/>
      <c r="E36" s="3" t="s">
        <v>29</v>
      </c>
      <c r="F36" s="3"/>
      <c r="G36" s="3" t="s">
        <v>29</v>
      </c>
      <c r="H36" s="7" t="s">
        <v>29</v>
      </c>
      <c r="I36" s="3"/>
      <c r="J36" s="7" t="s">
        <v>29</v>
      </c>
      <c r="K36">
        <v>0.35120868999999999</v>
      </c>
      <c r="L36">
        <f t="shared" si="0"/>
        <v>5</v>
      </c>
      <c r="N36">
        <v>0.38350821000000002</v>
      </c>
      <c r="O36">
        <v>0.33306796999999999</v>
      </c>
      <c r="P36" s="5">
        <f t="shared" si="1"/>
        <v>5.1652252682016495E-2</v>
      </c>
    </row>
    <row r="37" spans="1:16" x14ac:dyDescent="0.3">
      <c r="A37" s="17" t="s">
        <v>35</v>
      </c>
      <c r="B37" s="18" t="s">
        <v>29</v>
      </c>
      <c r="C37" s="18" t="s">
        <v>29</v>
      </c>
      <c r="D37" s="18" t="s">
        <v>29</v>
      </c>
      <c r="E37" s="18" t="s">
        <v>29</v>
      </c>
      <c r="F37" s="18" t="s">
        <v>29</v>
      </c>
      <c r="G37" s="18"/>
      <c r="H37" s="19" t="s">
        <v>29</v>
      </c>
      <c r="I37" s="18"/>
      <c r="J37" s="19"/>
      <c r="K37" s="17">
        <v>0.40059250000000002</v>
      </c>
      <c r="L37" s="17">
        <f t="shared" si="0"/>
        <v>6</v>
      </c>
      <c r="M37" s="21" t="s">
        <v>92</v>
      </c>
      <c r="N37">
        <v>0.43373413</v>
      </c>
      <c r="O37">
        <v>0.38565495</v>
      </c>
      <c r="P37" s="5">
        <f t="shared" si="1"/>
        <v>3.7288641200222225E-2</v>
      </c>
    </row>
    <row r="38" spans="1:16" x14ac:dyDescent="0.3">
      <c r="A38" s="16" t="s">
        <v>15</v>
      </c>
      <c r="B38" s="3" t="s">
        <v>29</v>
      </c>
      <c r="C38" s="3"/>
      <c r="D38" s="3"/>
      <c r="E38" s="3" t="s">
        <v>29</v>
      </c>
      <c r="F38" s="3"/>
      <c r="G38" s="3" t="s">
        <v>29</v>
      </c>
      <c r="H38" s="7" t="s">
        <v>29</v>
      </c>
      <c r="I38" s="3"/>
      <c r="J38" s="7"/>
      <c r="K38">
        <v>0.68871134000000001</v>
      </c>
      <c r="L38">
        <f t="shared" si="0"/>
        <v>4</v>
      </c>
      <c r="N38">
        <v>0.70724472999999999</v>
      </c>
      <c r="O38">
        <v>0.68035904000000003</v>
      </c>
      <c r="P38" s="5">
        <f t="shared" si="1"/>
        <v>1.2127432082067909E-2</v>
      </c>
    </row>
    <row r="39" spans="1:16" x14ac:dyDescent="0.3">
      <c r="A39" s="17" t="s">
        <v>11</v>
      </c>
      <c r="B39" s="18" t="s">
        <v>29</v>
      </c>
      <c r="C39" s="18" t="s">
        <v>29</v>
      </c>
      <c r="D39" s="18" t="s">
        <v>29</v>
      </c>
      <c r="E39" s="18" t="s">
        <v>29</v>
      </c>
      <c r="F39" s="18"/>
      <c r="G39" s="18" t="s">
        <v>29</v>
      </c>
      <c r="H39" s="19" t="s">
        <v>29</v>
      </c>
      <c r="I39" s="18"/>
      <c r="J39" s="19" t="s">
        <v>29</v>
      </c>
      <c r="K39" s="17">
        <v>0.74122326999999999</v>
      </c>
      <c r="L39" s="17">
        <f t="shared" si="0"/>
        <v>7</v>
      </c>
      <c r="M39" s="21" t="s">
        <v>92</v>
      </c>
      <c r="N39">
        <v>0.75927568999999995</v>
      </c>
      <c r="O39">
        <v>0.73572656999999997</v>
      </c>
      <c r="P39" s="5">
        <f t="shared" si="1"/>
        <v>7.4157142961796402E-3</v>
      </c>
    </row>
    <row r="40" spans="1:16" x14ac:dyDescent="0.3">
      <c r="A40" s="15" t="s">
        <v>10</v>
      </c>
      <c r="B40" s="3" t="s">
        <v>29</v>
      </c>
      <c r="C40" s="3"/>
      <c r="D40" s="3" t="s">
        <v>29</v>
      </c>
      <c r="E40" s="3" t="s">
        <v>29</v>
      </c>
      <c r="F40" s="3" t="s">
        <v>29</v>
      </c>
      <c r="G40" s="3" t="s">
        <v>29</v>
      </c>
      <c r="H40" s="7" t="s">
        <v>29</v>
      </c>
      <c r="I40" s="3"/>
      <c r="J40" s="7" t="s">
        <v>29</v>
      </c>
      <c r="K40">
        <v>0.70402909000000002</v>
      </c>
      <c r="L40">
        <f t="shared" si="0"/>
        <v>7</v>
      </c>
      <c r="N40">
        <v>0.72547457000000004</v>
      </c>
      <c r="O40">
        <v>0.69802202999999996</v>
      </c>
      <c r="P40" s="5">
        <f t="shared" si="1"/>
        <v>8.5324031141952722E-3</v>
      </c>
    </row>
    <row r="41" spans="1:16" x14ac:dyDescent="0.3">
      <c r="N41" s="14"/>
      <c r="O41" s="14"/>
      <c r="P41" s="14"/>
    </row>
    <row r="43" spans="1:16" x14ac:dyDescent="0.3">
      <c r="A43" s="27" t="s">
        <v>81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</row>
    <row r="44" spans="1:16" x14ac:dyDescent="0.3">
      <c r="A44" t="s">
        <v>0</v>
      </c>
      <c r="B44" s="3" t="s">
        <v>3</v>
      </c>
      <c r="C44" s="3" t="s">
        <v>72</v>
      </c>
      <c r="D44" s="3" t="s">
        <v>73</v>
      </c>
      <c r="E44" s="3" t="s">
        <v>74</v>
      </c>
      <c r="F44" s="3" t="s">
        <v>75</v>
      </c>
      <c r="G44" s="3" t="s">
        <v>76</v>
      </c>
      <c r="H44" s="3" t="s">
        <v>77</v>
      </c>
      <c r="I44" s="3" t="s">
        <v>78</v>
      </c>
      <c r="J44" s="3" t="s">
        <v>79</v>
      </c>
      <c r="K44" t="s">
        <v>28</v>
      </c>
      <c r="L44" s="3" t="s">
        <v>82</v>
      </c>
      <c r="M44" s="3" t="s">
        <v>84</v>
      </c>
    </row>
    <row r="45" spans="1:16" x14ac:dyDescent="0.3">
      <c r="A45" t="s">
        <v>7</v>
      </c>
      <c r="B45" s="3" t="s">
        <v>29</v>
      </c>
      <c r="C45" s="3" t="s">
        <v>29</v>
      </c>
      <c r="D45" s="3"/>
      <c r="E45" s="3" t="s">
        <v>29</v>
      </c>
      <c r="F45" s="3" t="s">
        <v>29</v>
      </c>
      <c r="G45" s="3"/>
      <c r="H45" s="3" t="s">
        <v>29</v>
      </c>
      <c r="I45" s="3"/>
      <c r="J45" s="3" t="s">
        <v>29</v>
      </c>
      <c r="K45">
        <v>0.49529157000000001</v>
      </c>
      <c r="L45" s="5">
        <f>(K21-K45)/K21</f>
        <v>1.3856639808597624E-3</v>
      </c>
      <c r="M45">
        <f>COUNTIF(B45:J45,"X")</f>
        <v>6</v>
      </c>
    </row>
    <row r="46" spans="1:16" x14ac:dyDescent="0.3">
      <c r="A46" t="s">
        <v>18</v>
      </c>
      <c r="B46" s="3"/>
      <c r="C46" s="3"/>
      <c r="D46" s="3" t="s">
        <v>29</v>
      </c>
      <c r="E46" s="3"/>
      <c r="F46" s="3" t="s">
        <v>29</v>
      </c>
      <c r="G46" s="3"/>
      <c r="H46" s="3" t="s">
        <v>29</v>
      </c>
      <c r="I46" s="3"/>
      <c r="J46" s="3"/>
      <c r="K46">
        <v>0.14702638000000001</v>
      </c>
      <c r="L46" s="5">
        <f t="shared" ref="L46:L64" si="2">(K22-K46)/K22</f>
        <v>1.3637801137024468E-2</v>
      </c>
      <c r="M46">
        <f t="shared" ref="M46:M64" si="3">COUNTIF(B46:J46,"X")</f>
        <v>3</v>
      </c>
    </row>
    <row r="47" spans="1:16" x14ac:dyDescent="0.3">
      <c r="A47" t="s">
        <v>8</v>
      </c>
      <c r="B47" s="3" t="s">
        <v>29</v>
      </c>
      <c r="C47" s="3"/>
      <c r="D47" s="3" t="s">
        <v>29</v>
      </c>
      <c r="E47" s="3" t="s">
        <v>29</v>
      </c>
      <c r="F47" s="3"/>
      <c r="G47" s="3" t="s">
        <v>29</v>
      </c>
      <c r="H47" s="3" t="s">
        <v>29</v>
      </c>
      <c r="I47" s="3" t="s">
        <v>29</v>
      </c>
      <c r="J47" s="3" t="s">
        <v>29</v>
      </c>
      <c r="K47">
        <v>0.31421829000000001</v>
      </c>
      <c r="L47" s="5">
        <f t="shared" si="2"/>
        <v>1.7395153724278553E-3</v>
      </c>
      <c r="M47">
        <f t="shared" si="3"/>
        <v>7</v>
      </c>
    </row>
    <row r="48" spans="1:16" x14ac:dyDescent="0.3">
      <c r="A48" t="s">
        <v>9</v>
      </c>
      <c r="B48" s="3" t="s">
        <v>29</v>
      </c>
      <c r="C48" s="3" t="s">
        <v>29</v>
      </c>
      <c r="D48" s="3"/>
      <c r="E48" s="3" t="s">
        <v>29</v>
      </c>
      <c r="F48" s="3"/>
      <c r="G48" s="3"/>
      <c r="H48" s="3" t="s">
        <v>29</v>
      </c>
      <c r="I48" s="3"/>
      <c r="J48" s="3" t="s">
        <v>29</v>
      </c>
      <c r="K48">
        <v>0.13643227999999999</v>
      </c>
      <c r="L48" s="5">
        <f t="shared" si="2"/>
        <v>9.107301434573405E-3</v>
      </c>
      <c r="M48">
        <f t="shared" si="3"/>
        <v>5</v>
      </c>
    </row>
    <row r="49" spans="1:13" x14ac:dyDescent="0.3">
      <c r="A49" t="s">
        <v>19</v>
      </c>
      <c r="B49" s="3"/>
      <c r="C49" s="3"/>
      <c r="D49" s="3"/>
      <c r="E49" s="3" t="s">
        <v>29</v>
      </c>
      <c r="F49" s="3"/>
      <c r="G49" s="3" t="s">
        <v>29</v>
      </c>
      <c r="H49" s="3"/>
      <c r="I49" s="3"/>
      <c r="J49" s="3" t="s">
        <v>29</v>
      </c>
      <c r="K49">
        <v>8.1494460000000005E-2</v>
      </c>
      <c r="L49" s="5">
        <f t="shared" si="2"/>
        <v>1.7278020312482866E-3</v>
      </c>
      <c r="M49">
        <f t="shared" si="3"/>
        <v>3</v>
      </c>
    </row>
    <row r="50" spans="1:13" x14ac:dyDescent="0.3">
      <c r="A50" t="s">
        <v>14</v>
      </c>
      <c r="B50" s="3" t="s">
        <v>29</v>
      </c>
      <c r="C50" s="3"/>
      <c r="D50" s="3" t="s">
        <v>29</v>
      </c>
      <c r="E50" s="3" t="s">
        <v>29</v>
      </c>
      <c r="F50" s="3"/>
      <c r="G50" s="3" t="s">
        <v>29</v>
      </c>
      <c r="H50" s="3" t="s">
        <v>29</v>
      </c>
      <c r="I50" s="3"/>
      <c r="J50" s="3" t="s">
        <v>29</v>
      </c>
      <c r="K50">
        <v>0.64807557999999998</v>
      </c>
      <c r="L50" s="5">
        <f t="shared" si="2"/>
        <v>1.1508698321693591E-3</v>
      </c>
      <c r="M50">
        <f t="shared" si="3"/>
        <v>6</v>
      </c>
    </row>
    <row r="51" spans="1:13" x14ac:dyDescent="0.3">
      <c r="A51" t="s">
        <v>16</v>
      </c>
      <c r="B51" s="3" t="s">
        <v>29</v>
      </c>
      <c r="C51" s="3" t="s">
        <v>29</v>
      </c>
      <c r="D51" s="3" t="s">
        <v>29</v>
      </c>
      <c r="E51" s="3" t="s">
        <v>29</v>
      </c>
      <c r="F51" s="3"/>
      <c r="G51" s="3" t="s">
        <v>29</v>
      </c>
      <c r="H51" s="3" t="s">
        <v>29</v>
      </c>
      <c r="I51" s="3"/>
      <c r="J51" s="3" t="s">
        <v>29</v>
      </c>
      <c r="K51">
        <v>0.65066784</v>
      </c>
      <c r="L51" s="5">
        <f t="shared" si="2"/>
        <v>2.808870851205199E-3</v>
      </c>
      <c r="M51">
        <f t="shared" si="3"/>
        <v>7</v>
      </c>
    </row>
    <row r="52" spans="1:13" x14ac:dyDescent="0.3">
      <c r="A52" s="8" t="s">
        <v>20</v>
      </c>
      <c r="B52" s="3"/>
      <c r="C52" s="3"/>
      <c r="D52" s="3"/>
      <c r="E52" s="3"/>
      <c r="F52" s="3"/>
      <c r="G52" s="3" t="s">
        <v>29</v>
      </c>
      <c r="H52" s="3" t="s">
        <v>29</v>
      </c>
      <c r="I52" s="3"/>
      <c r="J52" s="3"/>
      <c r="K52" s="8">
        <v>3.0166599999999998E-2</v>
      </c>
      <c r="L52" s="5">
        <f t="shared" si="2"/>
        <v>3.3787614304245504E-2</v>
      </c>
      <c r="M52" s="8">
        <f t="shared" si="3"/>
        <v>2</v>
      </c>
    </row>
    <row r="53" spans="1:13" x14ac:dyDescent="0.3">
      <c r="A53" t="s">
        <v>22</v>
      </c>
      <c r="B53" s="3" t="s">
        <v>29</v>
      </c>
      <c r="C53" s="3" t="s">
        <v>29</v>
      </c>
      <c r="D53" s="3" t="s">
        <v>29</v>
      </c>
      <c r="E53" s="3"/>
      <c r="F53" s="3" t="s">
        <v>29</v>
      </c>
      <c r="G53" s="3"/>
      <c r="H53" s="3" t="s">
        <v>29</v>
      </c>
      <c r="I53" s="3" t="s">
        <v>29</v>
      </c>
      <c r="J53" s="3" t="s">
        <v>29</v>
      </c>
      <c r="K53">
        <v>0.78436099999999997</v>
      </c>
      <c r="L53" s="5">
        <f t="shared" si="2"/>
        <v>6.2725097798531403E-4</v>
      </c>
      <c r="M53">
        <f t="shared" si="3"/>
        <v>7</v>
      </c>
    </row>
    <row r="54" spans="1:13" x14ac:dyDescent="0.3">
      <c r="A54" t="s">
        <v>12</v>
      </c>
      <c r="B54" s="3"/>
      <c r="C54" s="3"/>
      <c r="D54" s="3"/>
      <c r="E54" s="3" t="s">
        <v>29</v>
      </c>
      <c r="F54" s="3"/>
      <c r="G54" s="3" t="s">
        <v>29</v>
      </c>
      <c r="H54" s="3" t="s">
        <v>29</v>
      </c>
      <c r="I54" s="3" t="s">
        <v>29</v>
      </c>
      <c r="J54" s="3" t="s">
        <v>29</v>
      </c>
      <c r="K54">
        <v>0.66747504999999996</v>
      </c>
      <c r="L54" s="5">
        <f t="shared" si="2"/>
        <v>6.9995537640375283E-4</v>
      </c>
      <c r="M54">
        <f t="shared" si="3"/>
        <v>5</v>
      </c>
    </row>
    <row r="55" spans="1:13" x14ac:dyDescent="0.3">
      <c r="A55" t="s">
        <v>24</v>
      </c>
      <c r="B55" s="3" t="s">
        <v>29</v>
      </c>
      <c r="C55" s="3" t="s">
        <v>29</v>
      </c>
      <c r="D55" s="3" t="s">
        <v>29</v>
      </c>
      <c r="E55" s="3" t="s">
        <v>29</v>
      </c>
      <c r="F55" s="3"/>
      <c r="G55" s="3" t="s">
        <v>29</v>
      </c>
      <c r="H55" s="3" t="s">
        <v>29</v>
      </c>
      <c r="I55" s="3"/>
      <c r="J55" s="3" t="s">
        <v>29</v>
      </c>
      <c r="K55">
        <v>0.84075907000000005</v>
      </c>
      <c r="L55" s="5">
        <f t="shared" si="2"/>
        <v>6.6612031060863091E-4</v>
      </c>
      <c r="M55">
        <f t="shared" si="3"/>
        <v>7</v>
      </c>
    </row>
    <row r="56" spans="1:13" x14ac:dyDescent="0.3">
      <c r="A56" t="s">
        <v>21</v>
      </c>
      <c r="B56" s="3" t="s">
        <v>29</v>
      </c>
      <c r="C56" s="3" t="s">
        <v>29</v>
      </c>
      <c r="D56" s="3" t="s">
        <v>29</v>
      </c>
      <c r="E56" s="3" t="s">
        <v>29</v>
      </c>
      <c r="F56" s="3"/>
      <c r="G56" s="3"/>
      <c r="H56" s="3" t="s">
        <v>29</v>
      </c>
      <c r="I56" s="3"/>
      <c r="J56" s="3" t="s">
        <v>29</v>
      </c>
      <c r="K56">
        <v>0.50187263999999998</v>
      </c>
      <c r="L56" s="5">
        <f t="shared" si="2"/>
        <v>7.6411168621807904E-4</v>
      </c>
      <c r="M56">
        <f t="shared" si="3"/>
        <v>6</v>
      </c>
    </row>
    <row r="57" spans="1:13" x14ac:dyDescent="0.3">
      <c r="A57" t="s">
        <v>23</v>
      </c>
      <c r="B57" s="3" t="s">
        <v>29</v>
      </c>
      <c r="C57" s="3"/>
      <c r="D57" s="3" t="s">
        <v>29</v>
      </c>
      <c r="E57" s="3"/>
      <c r="F57" s="3" t="s">
        <v>29</v>
      </c>
      <c r="G57" s="3" t="s">
        <v>29</v>
      </c>
      <c r="H57" s="3" t="s">
        <v>29</v>
      </c>
      <c r="I57" s="3" t="s">
        <v>29</v>
      </c>
      <c r="J57" s="3" t="s">
        <v>29</v>
      </c>
      <c r="K57">
        <v>0.61236919999999995</v>
      </c>
      <c r="L57" s="5">
        <f t="shared" si="2"/>
        <v>1.7053536438584693E-3</v>
      </c>
      <c r="M57">
        <f t="shared" si="3"/>
        <v>7</v>
      </c>
    </row>
    <row r="58" spans="1:13" x14ac:dyDescent="0.3">
      <c r="A58" t="s">
        <v>33</v>
      </c>
      <c r="B58" s="3" t="s">
        <v>29</v>
      </c>
      <c r="C58" s="3"/>
      <c r="D58" s="3"/>
      <c r="E58" s="3" t="s">
        <v>29</v>
      </c>
      <c r="F58" s="3" t="s">
        <v>29</v>
      </c>
      <c r="G58" s="3"/>
      <c r="H58" s="3" t="s">
        <v>29</v>
      </c>
      <c r="I58" s="3"/>
      <c r="J58" s="3" t="s">
        <v>29</v>
      </c>
      <c r="K58">
        <v>0.71911272999999998</v>
      </c>
      <c r="L58" s="5">
        <f t="shared" si="2"/>
        <v>3.3035362169903234E-4</v>
      </c>
      <c r="M58">
        <f t="shared" si="3"/>
        <v>5</v>
      </c>
    </row>
    <row r="59" spans="1:13" x14ac:dyDescent="0.3">
      <c r="A59" t="s">
        <v>34</v>
      </c>
      <c r="B59" s="3" t="s">
        <v>29</v>
      </c>
      <c r="C59" s="3" t="s">
        <v>29</v>
      </c>
      <c r="D59" s="3" t="s">
        <v>29</v>
      </c>
      <c r="E59" s="3" t="s">
        <v>29</v>
      </c>
      <c r="F59" s="3"/>
      <c r="G59" s="3"/>
      <c r="H59" s="3" t="s">
        <v>29</v>
      </c>
      <c r="I59" s="3"/>
      <c r="J59" s="3" t="s">
        <v>29</v>
      </c>
      <c r="K59">
        <v>0.79489098000000002</v>
      </c>
      <c r="L59" s="5">
        <f t="shared" si="2"/>
        <v>7.5992067892366005E-5</v>
      </c>
      <c r="M59">
        <f t="shared" si="3"/>
        <v>6</v>
      </c>
    </row>
    <row r="60" spans="1:13" x14ac:dyDescent="0.3">
      <c r="A60" t="s">
        <v>17</v>
      </c>
      <c r="B60" s="3" t="s">
        <v>29</v>
      </c>
      <c r="C60" s="3"/>
      <c r="D60" s="3"/>
      <c r="E60" s="3" t="s">
        <v>29</v>
      </c>
      <c r="F60" s="3"/>
      <c r="G60" s="3" t="s">
        <v>29</v>
      </c>
      <c r="H60" s="3" t="s">
        <v>29</v>
      </c>
      <c r="I60" s="3" t="s">
        <v>29</v>
      </c>
      <c r="J60" s="3" t="s">
        <v>29</v>
      </c>
      <c r="K60">
        <v>0.35025242000000001</v>
      </c>
      <c r="L60" s="5">
        <f t="shared" si="2"/>
        <v>2.722797092520636E-3</v>
      </c>
      <c r="M60">
        <f t="shared" si="3"/>
        <v>6</v>
      </c>
    </row>
    <row r="61" spans="1:13" x14ac:dyDescent="0.3">
      <c r="A61" t="s">
        <v>35</v>
      </c>
      <c r="B61" s="3" t="s">
        <v>29</v>
      </c>
      <c r="C61" s="3" t="s">
        <v>29</v>
      </c>
      <c r="D61" s="3" t="s">
        <v>29</v>
      </c>
      <c r="E61" s="3" t="s">
        <v>29</v>
      </c>
      <c r="F61" s="3"/>
      <c r="G61" s="3"/>
      <c r="H61" s="3" t="s">
        <v>29</v>
      </c>
      <c r="I61" s="3" t="s">
        <v>29</v>
      </c>
      <c r="J61" s="3"/>
      <c r="K61">
        <v>0.39921584999999998</v>
      </c>
      <c r="L61" s="5">
        <f t="shared" si="2"/>
        <v>3.4365346330748449E-3</v>
      </c>
      <c r="M61">
        <f t="shared" si="3"/>
        <v>6</v>
      </c>
    </row>
    <row r="62" spans="1:13" x14ac:dyDescent="0.3">
      <c r="A62" t="s">
        <v>15</v>
      </c>
      <c r="B62" s="3" t="s">
        <v>29</v>
      </c>
      <c r="C62" s="3" t="s">
        <v>29</v>
      </c>
      <c r="D62" s="3"/>
      <c r="E62" s="3" t="s">
        <v>29</v>
      </c>
      <c r="F62" s="3"/>
      <c r="G62" s="3" t="s">
        <v>29</v>
      </c>
      <c r="H62" s="3" t="s">
        <v>29</v>
      </c>
      <c r="I62" s="3"/>
      <c r="J62" s="3"/>
      <c r="K62">
        <v>0.68845029000000002</v>
      </c>
      <c r="L62" s="5">
        <f t="shared" si="2"/>
        <v>3.7904123954164151E-4</v>
      </c>
      <c r="M62">
        <f t="shared" si="3"/>
        <v>5</v>
      </c>
    </row>
    <row r="63" spans="1:13" x14ac:dyDescent="0.3">
      <c r="A63" t="s">
        <v>11</v>
      </c>
      <c r="B63" s="3" t="s">
        <v>29</v>
      </c>
      <c r="C63" s="3" t="s">
        <v>29</v>
      </c>
      <c r="D63" s="3" t="s">
        <v>29</v>
      </c>
      <c r="E63" s="3" t="s">
        <v>29</v>
      </c>
      <c r="F63" s="3"/>
      <c r="G63" s="3" t="s">
        <v>29</v>
      </c>
      <c r="H63" s="3" t="s">
        <v>29</v>
      </c>
      <c r="I63" s="3"/>
      <c r="J63" s="3"/>
      <c r="K63">
        <v>0.74069196000000004</v>
      </c>
      <c r="L63" s="5">
        <f t="shared" si="2"/>
        <v>7.1680156506682741E-4</v>
      </c>
      <c r="M63">
        <f t="shared" si="3"/>
        <v>6</v>
      </c>
    </row>
    <row r="64" spans="1:13" x14ac:dyDescent="0.3">
      <c r="A64" t="s">
        <v>10</v>
      </c>
      <c r="B64" s="3" t="s">
        <v>29</v>
      </c>
      <c r="C64" s="3"/>
      <c r="D64" s="3" t="s">
        <v>29</v>
      </c>
      <c r="E64" s="3" t="s">
        <v>29</v>
      </c>
      <c r="F64" s="3"/>
      <c r="G64" s="3" t="s">
        <v>29</v>
      </c>
      <c r="H64" s="3" t="s">
        <v>29</v>
      </c>
      <c r="I64" s="3"/>
      <c r="J64" s="3" t="s">
        <v>29</v>
      </c>
      <c r="K64">
        <v>0.70133303999999996</v>
      </c>
      <c r="L64" s="5">
        <f t="shared" si="2"/>
        <v>3.8294582401418396E-3</v>
      </c>
      <c r="M64">
        <f t="shared" si="3"/>
        <v>6</v>
      </c>
    </row>
    <row r="67" spans="1:13" x14ac:dyDescent="0.3">
      <c r="A67" s="27" t="s">
        <v>83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</row>
    <row r="68" spans="1:13" x14ac:dyDescent="0.3">
      <c r="A68" t="s">
        <v>0</v>
      </c>
      <c r="B68" s="3" t="s">
        <v>3</v>
      </c>
      <c r="C68" s="3" t="s">
        <v>72</v>
      </c>
      <c r="D68" s="3" t="s">
        <v>73</v>
      </c>
      <c r="E68" s="3" t="s">
        <v>74</v>
      </c>
      <c r="F68" s="3" t="s">
        <v>75</v>
      </c>
      <c r="G68" s="3" t="s">
        <v>76</v>
      </c>
      <c r="H68" s="3" t="s">
        <v>77</v>
      </c>
      <c r="I68" s="3" t="s">
        <v>78</v>
      </c>
      <c r="J68" s="3" t="s">
        <v>79</v>
      </c>
      <c r="K68" t="s">
        <v>28</v>
      </c>
      <c r="L68" s="3" t="s">
        <v>82</v>
      </c>
      <c r="M68" s="3" t="s">
        <v>84</v>
      </c>
    </row>
    <row r="69" spans="1:13" x14ac:dyDescent="0.3">
      <c r="A69" t="s">
        <v>7</v>
      </c>
      <c r="B69" s="3" t="s">
        <v>29</v>
      </c>
      <c r="C69" s="3"/>
      <c r="D69" s="3" t="s">
        <v>29</v>
      </c>
      <c r="E69" s="3" t="s">
        <v>29</v>
      </c>
      <c r="F69" s="3" t="s">
        <v>29</v>
      </c>
      <c r="G69" s="3" t="s">
        <v>29</v>
      </c>
      <c r="H69" s="3" t="s">
        <v>29</v>
      </c>
      <c r="I69" s="3"/>
      <c r="J69" s="3" t="s">
        <v>29</v>
      </c>
      <c r="K69">
        <v>0.49315588999999999</v>
      </c>
      <c r="L69" s="5">
        <f>(K21-K69)/K21</f>
        <v>5.6916542183866924E-3</v>
      </c>
      <c r="M69">
        <f>COUNTIF(B69:J69,"X")</f>
        <v>7</v>
      </c>
    </row>
    <row r="70" spans="1:13" x14ac:dyDescent="0.3">
      <c r="A70" t="s">
        <v>18</v>
      </c>
      <c r="B70" s="3"/>
      <c r="C70" s="3" t="s">
        <v>29</v>
      </c>
      <c r="D70" s="3" t="s">
        <v>29</v>
      </c>
      <c r="E70" s="3"/>
      <c r="F70" s="3" t="s">
        <v>29</v>
      </c>
      <c r="G70" s="3"/>
      <c r="H70" s="3" t="s">
        <v>29</v>
      </c>
      <c r="I70" s="3"/>
      <c r="J70" s="3"/>
      <c r="K70">
        <v>0.14609643</v>
      </c>
      <c r="L70" s="5">
        <f t="shared" ref="L70:L88" si="4">(K22-K70)/K22</f>
        <v>1.9876596697607791E-2</v>
      </c>
      <c r="M70">
        <f t="shared" ref="M70:M88" si="5">COUNTIF(B70:J70,"X")</f>
        <v>4</v>
      </c>
    </row>
    <row r="71" spans="1:13" x14ac:dyDescent="0.3">
      <c r="A71" t="s">
        <v>8</v>
      </c>
      <c r="B71" s="3" t="s">
        <v>29</v>
      </c>
      <c r="C71" s="3" t="s">
        <v>29</v>
      </c>
      <c r="D71" s="3" t="s">
        <v>29</v>
      </c>
      <c r="E71" s="3"/>
      <c r="F71" s="3"/>
      <c r="G71" s="3"/>
      <c r="H71" s="3" t="s">
        <v>29</v>
      </c>
      <c r="I71" s="3" t="s">
        <v>29</v>
      </c>
      <c r="J71" s="3" t="s">
        <v>29</v>
      </c>
      <c r="K71">
        <v>0.31147134999999998</v>
      </c>
      <c r="L71" s="5">
        <f t="shared" si="4"/>
        <v>1.0466447390430034E-2</v>
      </c>
      <c r="M71">
        <f t="shared" si="5"/>
        <v>6</v>
      </c>
    </row>
    <row r="72" spans="1:13" x14ac:dyDescent="0.3">
      <c r="A72" t="s">
        <v>9</v>
      </c>
      <c r="B72" s="3"/>
      <c r="C72" s="3" t="s">
        <v>29</v>
      </c>
      <c r="D72" s="3"/>
      <c r="E72" s="3" t="s">
        <v>29</v>
      </c>
      <c r="F72" s="3" t="s">
        <v>29</v>
      </c>
      <c r="G72" s="3"/>
      <c r="H72" s="3" t="s">
        <v>29</v>
      </c>
      <c r="I72" s="3"/>
      <c r="J72" s="3" t="s">
        <v>29</v>
      </c>
      <c r="K72">
        <v>0.13494734</v>
      </c>
      <c r="L72" s="5">
        <f t="shared" si="4"/>
        <v>1.9892257925865166E-2</v>
      </c>
      <c r="M72">
        <f t="shared" si="5"/>
        <v>5</v>
      </c>
    </row>
    <row r="73" spans="1:13" x14ac:dyDescent="0.3">
      <c r="A73" t="s">
        <v>19</v>
      </c>
      <c r="B73" s="3"/>
      <c r="C73" s="3"/>
      <c r="D73" s="3" t="s">
        <v>29</v>
      </c>
      <c r="E73" s="3"/>
      <c r="F73" s="3"/>
      <c r="G73" s="3" t="s">
        <v>29</v>
      </c>
      <c r="H73" s="3"/>
      <c r="I73" s="3"/>
      <c r="J73" s="3" t="s">
        <v>29</v>
      </c>
      <c r="K73">
        <v>7.9927860000000003E-2</v>
      </c>
      <c r="L73" s="5">
        <f t="shared" si="4"/>
        <v>2.0917980422980039E-2</v>
      </c>
      <c r="M73">
        <f t="shared" si="5"/>
        <v>3</v>
      </c>
    </row>
    <row r="74" spans="1:13" x14ac:dyDescent="0.3">
      <c r="A74" t="s">
        <v>14</v>
      </c>
      <c r="B74" s="3" t="s">
        <v>29</v>
      </c>
      <c r="C74" s="3"/>
      <c r="D74" s="3"/>
      <c r="E74" s="3" t="s">
        <v>29</v>
      </c>
      <c r="F74" s="3"/>
      <c r="G74" s="3" t="s">
        <v>29</v>
      </c>
      <c r="H74" s="3" t="s">
        <v>29</v>
      </c>
      <c r="I74" s="3"/>
      <c r="J74" s="3" t="s">
        <v>29</v>
      </c>
      <c r="K74">
        <v>0.64793535999999996</v>
      </c>
      <c r="L74" s="5">
        <f t="shared" si="4"/>
        <v>1.3669844789087986E-3</v>
      </c>
      <c r="M74">
        <f t="shared" si="5"/>
        <v>5</v>
      </c>
    </row>
    <row r="75" spans="1:13" x14ac:dyDescent="0.3">
      <c r="A75" t="s">
        <v>16</v>
      </c>
      <c r="B75" s="3" t="s">
        <v>29</v>
      </c>
      <c r="C75" s="3" t="s">
        <v>29</v>
      </c>
      <c r="D75" s="3" t="s">
        <v>29</v>
      </c>
      <c r="E75" s="3" t="s">
        <v>29</v>
      </c>
      <c r="F75" s="3"/>
      <c r="G75" s="3"/>
      <c r="H75" s="3" t="s">
        <v>29</v>
      </c>
      <c r="I75" s="3" t="s">
        <v>29</v>
      </c>
      <c r="J75" s="3" t="s">
        <v>29</v>
      </c>
      <c r="K75">
        <v>0.65020880999999997</v>
      </c>
      <c r="L75" s="5">
        <f t="shared" si="4"/>
        <v>3.5123644248436286E-3</v>
      </c>
      <c r="M75">
        <f t="shared" si="5"/>
        <v>7</v>
      </c>
    </row>
    <row r="76" spans="1:13" x14ac:dyDescent="0.3">
      <c r="A76" t="s">
        <v>20</v>
      </c>
      <c r="B76" s="3"/>
      <c r="C76" s="3" t="s">
        <v>29</v>
      </c>
      <c r="D76" s="3"/>
      <c r="E76" s="3" t="s">
        <v>29</v>
      </c>
      <c r="F76" s="3"/>
      <c r="G76" s="3"/>
      <c r="H76" s="3" t="s">
        <v>29</v>
      </c>
      <c r="I76" s="3"/>
      <c r="J76" s="3"/>
      <c r="K76">
        <v>2.5905569999999999E-2</v>
      </c>
      <c r="L76" s="5">
        <f t="shared" si="4"/>
        <v>0.17026504171804685</v>
      </c>
      <c r="M76" s="8">
        <f t="shared" si="5"/>
        <v>3</v>
      </c>
    </row>
    <row r="77" spans="1:13" x14ac:dyDescent="0.3">
      <c r="A77" t="s">
        <v>22</v>
      </c>
      <c r="B77" s="3"/>
      <c r="C77" s="3" t="s">
        <v>29</v>
      </c>
      <c r="D77" s="3"/>
      <c r="E77" s="3"/>
      <c r="F77" s="3" t="s">
        <v>29</v>
      </c>
      <c r="G77" s="3"/>
      <c r="H77" s="3" t="s">
        <v>29</v>
      </c>
      <c r="I77" s="3" t="s">
        <v>29</v>
      </c>
      <c r="J77" s="3" t="s">
        <v>29</v>
      </c>
      <c r="K77">
        <v>0.78396732000000002</v>
      </c>
      <c r="L77" s="5">
        <f t="shared" si="4"/>
        <v>1.128847900620349E-3</v>
      </c>
      <c r="M77">
        <f t="shared" si="5"/>
        <v>5</v>
      </c>
    </row>
    <row r="78" spans="1:13" x14ac:dyDescent="0.3">
      <c r="A78" t="s">
        <v>12</v>
      </c>
      <c r="B78" s="3" t="s">
        <v>29</v>
      </c>
      <c r="C78" s="3"/>
      <c r="D78" s="3"/>
      <c r="E78" s="3" t="s">
        <v>29</v>
      </c>
      <c r="F78" s="3"/>
      <c r="G78" s="3" t="s">
        <v>29</v>
      </c>
      <c r="H78" s="3" t="s">
        <v>29</v>
      </c>
      <c r="I78" s="3" t="s">
        <v>29</v>
      </c>
      <c r="J78" s="3" t="s">
        <v>29</v>
      </c>
      <c r="K78">
        <v>0.66740323000000001</v>
      </c>
      <c r="L78" s="5">
        <f t="shared" si="4"/>
        <v>8.0747958903883404E-4</v>
      </c>
      <c r="M78">
        <f t="shared" si="5"/>
        <v>6</v>
      </c>
    </row>
    <row r="79" spans="1:13" x14ac:dyDescent="0.3">
      <c r="A79" t="s">
        <v>24</v>
      </c>
      <c r="B79" s="3" t="s">
        <v>29</v>
      </c>
      <c r="C79" s="3"/>
      <c r="D79" s="3" t="s">
        <v>29</v>
      </c>
      <c r="E79" s="3" t="s">
        <v>29</v>
      </c>
      <c r="F79" s="3"/>
      <c r="G79" s="3" t="s">
        <v>29</v>
      </c>
      <c r="H79" s="3" t="s">
        <v>29</v>
      </c>
      <c r="I79" s="3" t="s">
        <v>29</v>
      </c>
      <c r="J79" s="3" t="s">
        <v>29</v>
      </c>
      <c r="K79">
        <v>0.84023639999999999</v>
      </c>
      <c r="L79" s="5">
        <f t="shared" si="4"/>
        <v>1.2873706277741804E-3</v>
      </c>
      <c r="M79">
        <f t="shared" si="5"/>
        <v>7</v>
      </c>
    </row>
    <row r="80" spans="1:13" x14ac:dyDescent="0.3">
      <c r="A80" t="s">
        <v>21</v>
      </c>
      <c r="B80" s="3"/>
      <c r="C80" s="3" t="s">
        <v>29</v>
      </c>
      <c r="D80" s="3" t="s">
        <v>29</v>
      </c>
      <c r="E80" s="3" t="s">
        <v>29</v>
      </c>
      <c r="F80" s="3"/>
      <c r="G80" s="3"/>
      <c r="H80" s="3" t="s">
        <v>29</v>
      </c>
      <c r="I80" s="3"/>
      <c r="J80" s="3" t="s">
        <v>29</v>
      </c>
      <c r="K80">
        <v>0.50180722</v>
      </c>
      <c r="L80" s="5">
        <f t="shared" si="4"/>
        <v>8.943638789127642E-4</v>
      </c>
      <c r="M80">
        <f t="shared" si="5"/>
        <v>5</v>
      </c>
    </row>
    <row r="81" spans="1:13" x14ac:dyDescent="0.3">
      <c r="A81" t="s">
        <v>23</v>
      </c>
      <c r="B81" s="3"/>
      <c r="C81" s="3"/>
      <c r="D81" s="3" t="s">
        <v>29</v>
      </c>
      <c r="E81" s="3" t="s">
        <v>29</v>
      </c>
      <c r="F81" s="3" t="s">
        <v>29</v>
      </c>
      <c r="G81" s="3" t="s">
        <v>29</v>
      </c>
      <c r="H81" s="3" t="s">
        <v>29</v>
      </c>
      <c r="I81" s="3" t="s">
        <v>29</v>
      </c>
      <c r="J81" s="3" t="s">
        <v>29</v>
      </c>
      <c r="K81">
        <v>0.61042788999999997</v>
      </c>
      <c r="L81" s="5">
        <f t="shared" si="4"/>
        <v>4.8701101011029146E-3</v>
      </c>
      <c r="M81">
        <f t="shared" si="5"/>
        <v>7</v>
      </c>
    </row>
    <row r="82" spans="1:13" x14ac:dyDescent="0.3">
      <c r="A82" t="s">
        <v>33</v>
      </c>
      <c r="B82" s="3" t="s">
        <v>29</v>
      </c>
      <c r="C82" s="3"/>
      <c r="D82" s="3"/>
      <c r="E82" s="3" t="s">
        <v>29</v>
      </c>
      <c r="F82" s="3" t="s">
        <v>29</v>
      </c>
      <c r="G82" s="3" t="s">
        <v>29</v>
      </c>
      <c r="H82" s="3" t="s">
        <v>29</v>
      </c>
      <c r="I82" s="3"/>
      <c r="J82" s="3" t="s">
        <v>29</v>
      </c>
      <c r="K82">
        <v>0.71883783000000001</v>
      </c>
      <c r="L82" s="5">
        <f t="shared" si="4"/>
        <v>7.1250397772090637E-4</v>
      </c>
      <c r="M82">
        <f t="shared" si="5"/>
        <v>6</v>
      </c>
    </row>
    <row r="83" spans="1:13" x14ac:dyDescent="0.3">
      <c r="A83" t="s">
        <v>34</v>
      </c>
      <c r="B83" s="3" t="s">
        <v>29</v>
      </c>
      <c r="C83" s="3" t="s">
        <v>29</v>
      </c>
      <c r="D83" s="3" t="s">
        <v>29</v>
      </c>
      <c r="E83" s="3" t="s">
        <v>29</v>
      </c>
      <c r="F83" s="3" t="s">
        <v>29</v>
      </c>
      <c r="G83" s="3"/>
      <c r="H83" s="3" t="s">
        <v>29</v>
      </c>
      <c r="I83" s="3"/>
      <c r="J83" s="3"/>
      <c r="K83">
        <v>0.79449654000000003</v>
      </c>
      <c r="L83" s="5">
        <f t="shared" si="4"/>
        <v>5.7217335012145411E-4</v>
      </c>
      <c r="M83">
        <f t="shared" si="5"/>
        <v>6</v>
      </c>
    </row>
    <row r="84" spans="1:13" x14ac:dyDescent="0.3">
      <c r="A84" t="s">
        <v>17</v>
      </c>
      <c r="B84" s="3" t="s">
        <v>29</v>
      </c>
      <c r="C84" s="3"/>
      <c r="D84" s="3"/>
      <c r="E84" s="3" t="s">
        <v>29</v>
      </c>
      <c r="F84" s="3"/>
      <c r="G84" s="3" t="s">
        <v>29</v>
      </c>
      <c r="H84" s="3" t="s">
        <v>29</v>
      </c>
      <c r="I84" s="3" t="s">
        <v>29</v>
      </c>
      <c r="J84" s="3"/>
      <c r="K84">
        <v>0.34961182000000002</v>
      </c>
      <c r="L84" s="5">
        <f t="shared" si="4"/>
        <v>4.5467838509348178E-3</v>
      </c>
      <c r="M84">
        <f t="shared" si="5"/>
        <v>5</v>
      </c>
    </row>
    <row r="85" spans="1:13" x14ac:dyDescent="0.3">
      <c r="A85" t="s">
        <v>35</v>
      </c>
      <c r="B85" s="3" t="s">
        <v>29</v>
      </c>
      <c r="C85" s="3" t="s">
        <v>29</v>
      </c>
      <c r="D85" s="3" t="s">
        <v>29</v>
      </c>
      <c r="E85" s="3" t="s">
        <v>29</v>
      </c>
      <c r="F85" s="3"/>
      <c r="G85" s="3"/>
      <c r="H85" s="3" t="s">
        <v>29</v>
      </c>
      <c r="I85" s="3"/>
      <c r="J85" s="3"/>
      <c r="K85">
        <v>0.39826609000000002</v>
      </c>
      <c r="L85" s="5">
        <f t="shared" si="4"/>
        <v>5.8074227550440928E-3</v>
      </c>
      <c r="M85">
        <f t="shared" si="5"/>
        <v>5</v>
      </c>
    </row>
    <row r="86" spans="1:13" x14ac:dyDescent="0.3">
      <c r="A86" t="s">
        <v>15</v>
      </c>
      <c r="B86" s="3" t="s">
        <v>29</v>
      </c>
      <c r="C86" s="3" t="s">
        <v>29</v>
      </c>
      <c r="D86" s="3"/>
      <c r="E86" s="3" t="s">
        <v>29</v>
      </c>
      <c r="F86" s="3"/>
      <c r="G86" s="3"/>
      <c r="H86" s="3" t="s">
        <v>29</v>
      </c>
      <c r="I86" s="3"/>
      <c r="J86" s="3"/>
      <c r="K86">
        <v>0.68820766</v>
      </c>
      <c r="L86" s="5">
        <f t="shared" si="4"/>
        <v>7.3133687620129258E-4</v>
      </c>
      <c r="M86">
        <f t="shared" si="5"/>
        <v>4</v>
      </c>
    </row>
    <row r="87" spans="1:13" x14ac:dyDescent="0.3">
      <c r="A87" t="s">
        <v>11</v>
      </c>
      <c r="B87" s="3" t="s">
        <v>29</v>
      </c>
      <c r="C87" s="3" t="s">
        <v>29</v>
      </c>
      <c r="D87" s="3" t="s">
        <v>29</v>
      </c>
      <c r="E87" s="3" t="s">
        <v>29</v>
      </c>
      <c r="F87" s="3"/>
      <c r="G87" s="3" t="s">
        <v>29</v>
      </c>
      <c r="H87" s="3" t="s">
        <v>29</v>
      </c>
      <c r="I87" s="3" t="s">
        <v>29</v>
      </c>
      <c r="J87" s="3"/>
      <c r="K87">
        <v>0.73882338000000003</v>
      </c>
      <c r="L87" s="5">
        <f t="shared" si="4"/>
        <v>3.2377423876613588E-3</v>
      </c>
      <c r="M87">
        <f t="shared" si="5"/>
        <v>7</v>
      </c>
    </row>
    <row r="88" spans="1:13" x14ac:dyDescent="0.3">
      <c r="A88" t="s">
        <v>10</v>
      </c>
      <c r="B88" s="3" t="s">
        <v>29</v>
      </c>
      <c r="C88" s="3" t="s">
        <v>29</v>
      </c>
      <c r="D88" s="3" t="s">
        <v>29</v>
      </c>
      <c r="E88" s="3" t="s">
        <v>29</v>
      </c>
      <c r="F88" s="3" t="s">
        <v>29</v>
      </c>
      <c r="G88" s="3" t="s">
        <v>29</v>
      </c>
      <c r="H88" s="3" t="s">
        <v>29</v>
      </c>
      <c r="I88" s="3"/>
      <c r="J88" s="3" t="s">
        <v>29</v>
      </c>
      <c r="K88">
        <v>0.70130506999999997</v>
      </c>
      <c r="L88" s="5">
        <f t="shared" si="4"/>
        <v>3.8691867121570917E-3</v>
      </c>
      <c r="M88">
        <f t="shared" si="5"/>
        <v>8</v>
      </c>
    </row>
    <row r="91" spans="1:13" ht="42.6" customHeight="1" x14ac:dyDescent="0.3">
      <c r="A91" s="28" t="s">
        <v>85</v>
      </c>
      <c r="B91" s="28"/>
      <c r="C91" s="28"/>
      <c r="D91" s="28"/>
      <c r="E91" s="29" t="s">
        <v>86</v>
      </c>
      <c r="F91" s="29"/>
      <c r="G91" s="29"/>
      <c r="H91" s="29"/>
      <c r="I91" s="30" t="s">
        <v>87</v>
      </c>
      <c r="J91" s="30"/>
      <c r="K91" s="30"/>
      <c r="L91" s="30"/>
    </row>
    <row r="92" spans="1:13" x14ac:dyDescent="0.3">
      <c r="A92" s="10" t="s">
        <v>0</v>
      </c>
      <c r="B92" s="10" t="s">
        <v>32</v>
      </c>
      <c r="C92" s="10" t="s">
        <v>28</v>
      </c>
      <c r="D92" s="10" t="s">
        <v>82</v>
      </c>
      <c r="E92" s="11"/>
      <c r="F92" s="11" t="s">
        <v>32</v>
      </c>
      <c r="G92" s="11" t="s">
        <v>28</v>
      </c>
      <c r="H92" s="11" t="s">
        <v>82</v>
      </c>
      <c r="I92" s="12"/>
      <c r="J92" s="12" t="s">
        <v>32</v>
      </c>
      <c r="K92" s="12" t="s">
        <v>28</v>
      </c>
      <c r="L92" s="12" t="s">
        <v>82</v>
      </c>
      <c r="M92" s="13" t="s">
        <v>88</v>
      </c>
    </row>
    <row r="93" spans="1:13" x14ac:dyDescent="0.3">
      <c r="A93" t="s">
        <v>7</v>
      </c>
      <c r="B93">
        <v>0.50197338999999996</v>
      </c>
      <c r="C93">
        <v>0.48723886999999999</v>
      </c>
      <c r="D93" s="5">
        <f>($K21-C93)/$K21</f>
        <v>1.7621639213915626E-2</v>
      </c>
      <c r="F93">
        <v>0.45640479</v>
      </c>
      <c r="G93">
        <v>0.44361431499999998</v>
      </c>
      <c r="H93" s="5">
        <f>($K21-G93)/$K21</f>
        <v>0.10557812517925412</v>
      </c>
      <c r="J93">
        <v>0.49517787000000002</v>
      </c>
      <c r="K93" s="14">
        <v>0.4832997</v>
      </c>
      <c r="L93" s="5">
        <f>($K21-K93)/$K21</f>
        <v>2.556385319913752E-2</v>
      </c>
      <c r="M93">
        <v>0.49597882999999998</v>
      </c>
    </row>
    <row r="94" spans="1:13" x14ac:dyDescent="0.3">
      <c r="A94" t="s">
        <v>18</v>
      </c>
      <c r="B94">
        <v>0.14794077999999999</v>
      </c>
      <c r="C94">
        <v>0.12258187</v>
      </c>
      <c r="D94" s="5">
        <f t="shared" ref="D94:D112" si="6">($K22-C94)/$K22</f>
        <v>0.17762973669122914</v>
      </c>
      <c r="F94">
        <v>0.13473995999999999</v>
      </c>
      <c r="G94">
        <v>0.114260429</v>
      </c>
      <c r="H94" s="5">
        <f t="shared" ref="H94:H112" si="7">($K22-G94)/$K22</f>
        <v>0.23345614581909122</v>
      </c>
      <c r="J94">
        <v>0.13839151999999999</v>
      </c>
      <c r="K94" s="14">
        <v>0.11799842000000001</v>
      </c>
      <c r="L94" s="5">
        <f t="shared" ref="L94:L112" si="8">($K22-K94)/$K22</f>
        <v>0.20837892483269393</v>
      </c>
      <c r="M94">
        <v>0.14905921999999999</v>
      </c>
    </row>
    <row r="95" spans="1:13" x14ac:dyDescent="0.3">
      <c r="A95" t="s">
        <v>8</v>
      </c>
      <c r="B95">
        <v>0.30121018999999999</v>
      </c>
      <c r="C95">
        <v>0.27990563000000002</v>
      </c>
      <c r="D95" s="5">
        <f t="shared" si="6"/>
        <v>0.11074963251252529</v>
      </c>
      <c r="F95">
        <v>0.28350149000000002</v>
      </c>
      <c r="G95">
        <v>0.26613183099999999</v>
      </c>
      <c r="H95" s="5">
        <f t="shared" si="7"/>
        <v>0.15450850875395222</v>
      </c>
      <c r="J95">
        <v>0.27693435</v>
      </c>
      <c r="K95" s="14">
        <v>0.25940548000000002</v>
      </c>
      <c r="L95" s="5">
        <f t="shared" si="8"/>
        <v>0.17587788992216849</v>
      </c>
      <c r="M95">
        <v>0.31476583000000002</v>
      </c>
    </row>
    <row r="96" spans="1:13" x14ac:dyDescent="0.3">
      <c r="A96" t="s">
        <v>9</v>
      </c>
      <c r="B96">
        <v>0.158413</v>
      </c>
      <c r="C96">
        <v>0.13243809000000001</v>
      </c>
      <c r="D96" s="5">
        <f t="shared" si="6"/>
        <v>3.8116665697070687E-2</v>
      </c>
      <c r="F96">
        <v>0.13428186</v>
      </c>
      <c r="G96">
        <v>0.11303724699999999</v>
      </c>
      <c r="H96" s="5">
        <f t="shared" si="7"/>
        <v>0.17902286234433176</v>
      </c>
      <c r="J96">
        <v>0.14375147999999999</v>
      </c>
      <c r="K96" s="14">
        <v>0.12273924</v>
      </c>
      <c r="L96" s="5">
        <f t="shared" si="8"/>
        <v>0.1085583503884157</v>
      </c>
      <c r="M96">
        <v>0.13768622999999999</v>
      </c>
    </row>
    <row r="97" spans="1:13" x14ac:dyDescent="0.3">
      <c r="A97" t="s">
        <v>19</v>
      </c>
      <c r="B97">
        <v>0.10137027</v>
      </c>
      <c r="C97">
        <v>7.2382210000000002E-2</v>
      </c>
      <c r="D97" s="5">
        <f t="shared" si="6"/>
        <v>0.11334895806983986</v>
      </c>
      <c r="F97">
        <v>9.9666489999999996E-2</v>
      </c>
      <c r="G97">
        <v>7.6581015000000002E-2</v>
      </c>
      <c r="H97" s="5">
        <f t="shared" si="7"/>
        <v>6.1915396865898094E-2</v>
      </c>
      <c r="J97">
        <v>9.6019149999999998E-2</v>
      </c>
      <c r="K97" s="14">
        <v>7.2840150000000006E-2</v>
      </c>
      <c r="L97" s="5">
        <f t="shared" si="8"/>
        <v>0.10773938939071966</v>
      </c>
      <c r="M97">
        <v>8.1635509999999994E-2</v>
      </c>
    </row>
    <row r="98" spans="1:13" x14ac:dyDescent="0.3">
      <c r="A98" t="s">
        <v>14</v>
      </c>
      <c r="B98">
        <v>0.65893738000000002</v>
      </c>
      <c r="C98">
        <v>0.64793535999999996</v>
      </c>
      <c r="D98" s="5">
        <f t="shared" si="6"/>
        <v>1.3669844789087986E-3</v>
      </c>
      <c r="F98">
        <v>0.64229477999999995</v>
      </c>
      <c r="G98">
        <v>0.63312285499999998</v>
      </c>
      <c r="H98" s="5">
        <f t="shared" si="7"/>
        <v>2.4196818207340008E-2</v>
      </c>
      <c r="J98">
        <v>0.63961999000000003</v>
      </c>
      <c r="K98" s="14">
        <v>0.63037947999999999</v>
      </c>
      <c r="L98" s="5">
        <f t="shared" si="8"/>
        <v>2.8425056112051931E-2</v>
      </c>
      <c r="M98">
        <v>0.64882229000000002</v>
      </c>
    </row>
    <row r="99" spans="1:13" x14ac:dyDescent="0.3">
      <c r="A99" t="s">
        <v>16</v>
      </c>
      <c r="B99">
        <v>0.63195338999999995</v>
      </c>
      <c r="C99">
        <v>0.61992572999999995</v>
      </c>
      <c r="D99" s="5">
        <f t="shared" si="6"/>
        <v>4.9923170189123144E-2</v>
      </c>
      <c r="F99">
        <v>0.40229802999999997</v>
      </c>
      <c r="G99">
        <v>0.38677330700000001</v>
      </c>
      <c r="H99" s="5">
        <f t="shared" si="7"/>
        <v>0.40724454626197065</v>
      </c>
      <c r="J99">
        <v>0.60614440000000003</v>
      </c>
      <c r="K99" s="14">
        <v>0.59591439000000002</v>
      </c>
      <c r="L99" s="5">
        <f t="shared" si="8"/>
        <v>8.6722123164846607E-2</v>
      </c>
      <c r="M99">
        <v>0.65250063000000003</v>
      </c>
    </row>
    <row r="100" spans="1:13" x14ac:dyDescent="0.3">
      <c r="A100" t="s">
        <v>20</v>
      </c>
      <c r="B100">
        <v>4.5160779999999998E-2</v>
      </c>
      <c r="C100">
        <v>1.3543589999999999E-2</v>
      </c>
      <c r="D100" s="5">
        <f t="shared" si="6"/>
        <v>0.56620950306679685</v>
      </c>
      <c r="F100">
        <v>1.6573379999999999E-2</v>
      </c>
      <c r="G100">
        <v>-9.3062709999999996E-3</v>
      </c>
      <c r="H100" s="5">
        <f t="shared" si="7"/>
        <v>1.298072514132889</v>
      </c>
      <c r="J100">
        <v>3.6753059999999997E-2</v>
      </c>
      <c r="K100" s="14">
        <v>1.140445E-2</v>
      </c>
      <c r="L100" s="5">
        <f t="shared" si="8"/>
        <v>0.6347244687154685</v>
      </c>
      <c r="M100">
        <v>3.1221499999999999E-2</v>
      </c>
    </row>
    <row r="101" spans="1:13" x14ac:dyDescent="0.3">
      <c r="A101" t="s">
        <v>22</v>
      </c>
      <c r="B101">
        <v>0.75617529000000006</v>
      </c>
      <c r="C101">
        <v>0.74752903000000004</v>
      </c>
      <c r="D101" s="5">
        <f t="shared" si="6"/>
        <v>4.7555727930302313E-2</v>
      </c>
      <c r="F101">
        <v>0.75604733000000002</v>
      </c>
      <c r="G101">
        <v>0.74917542800000003</v>
      </c>
      <c r="H101" s="5">
        <f t="shared" si="7"/>
        <v>4.5458013618595916E-2</v>
      </c>
      <c r="J101">
        <v>0.65544526999999997</v>
      </c>
      <c r="K101" s="14">
        <v>0.64573950000000002</v>
      </c>
      <c r="L101" s="5">
        <f t="shared" si="8"/>
        <v>0.17724815580185488</v>
      </c>
      <c r="M101">
        <v>0.78485329999999998</v>
      </c>
    </row>
    <row r="102" spans="1:13" x14ac:dyDescent="0.3">
      <c r="A102" t="s">
        <v>12</v>
      </c>
      <c r="B102">
        <v>0.67687470000000005</v>
      </c>
      <c r="C102">
        <v>0.66516726000000004</v>
      </c>
      <c r="D102" s="5">
        <f t="shared" si="6"/>
        <v>4.1550278169119187E-3</v>
      </c>
      <c r="F102">
        <v>0.49058201000000001</v>
      </c>
      <c r="G102">
        <v>0.47592249800000003</v>
      </c>
      <c r="H102" s="5">
        <f t="shared" si="7"/>
        <v>0.28747992379824017</v>
      </c>
      <c r="J102">
        <v>0.61314743000000005</v>
      </c>
      <c r="K102" s="14">
        <v>0.60201497999999998</v>
      </c>
      <c r="L102" s="5">
        <f t="shared" si="8"/>
        <v>9.8702496253495295E-2</v>
      </c>
      <c r="M102">
        <v>0.66794257999999995</v>
      </c>
    </row>
    <row r="103" spans="1:13" x14ac:dyDescent="0.3">
      <c r="A103" t="s">
        <v>24</v>
      </c>
      <c r="B103">
        <v>0.84104933999999998</v>
      </c>
      <c r="C103">
        <v>0.83524821999999999</v>
      </c>
      <c r="D103" s="5">
        <f t="shared" si="6"/>
        <v>7.2163667574133604E-3</v>
      </c>
      <c r="F103">
        <v>0.77791443999999998</v>
      </c>
      <c r="G103">
        <v>0.77147718099999996</v>
      </c>
      <c r="H103" s="5">
        <f t="shared" si="7"/>
        <v>8.3015203891211406E-2</v>
      </c>
      <c r="J103">
        <v>0.82795474000000002</v>
      </c>
      <c r="K103" s="14">
        <v>0.82296793000000001</v>
      </c>
      <c r="L103" s="5">
        <f t="shared" si="8"/>
        <v>2.1812831175466927E-2</v>
      </c>
      <c r="M103">
        <v>0.84131948999999995</v>
      </c>
    </row>
    <row r="104" spans="1:13" x14ac:dyDescent="0.3">
      <c r="A104" t="s">
        <v>21</v>
      </c>
      <c r="B104">
        <v>0.50662196999999998</v>
      </c>
      <c r="C104">
        <v>0.48807392999999999</v>
      </c>
      <c r="D104" s="5">
        <f t="shared" si="6"/>
        <v>2.8237548461799745E-2</v>
      </c>
      <c r="F104">
        <v>0.48707535000000002</v>
      </c>
      <c r="G104">
        <v>0.47176416100000002</v>
      </c>
      <c r="H104" s="5">
        <f t="shared" si="7"/>
        <v>6.0710541041964224E-2</v>
      </c>
      <c r="J104">
        <v>0.48558088999999999</v>
      </c>
      <c r="K104" s="14">
        <v>0.47022510000000001</v>
      </c>
      <c r="L104" s="5">
        <f t="shared" si="8"/>
        <v>6.3774834376432721E-2</v>
      </c>
      <c r="M104">
        <v>0.50225642000000004</v>
      </c>
    </row>
    <row r="105" spans="1:13" x14ac:dyDescent="0.3">
      <c r="A105" t="s">
        <v>23</v>
      </c>
      <c r="B105">
        <v>0.55475507999999996</v>
      </c>
      <c r="C105">
        <v>0.53694527999999997</v>
      </c>
      <c r="D105" s="5">
        <f t="shared" si="6"/>
        <v>0.12466270607633531</v>
      </c>
      <c r="F105">
        <v>0.47312726999999999</v>
      </c>
      <c r="G105">
        <v>0.456401153</v>
      </c>
      <c r="H105" s="5">
        <f t="shared" si="7"/>
        <v>0.25596710672145123</v>
      </c>
      <c r="J105">
        <v>0.52586873999999995</v>
      </c>
      <c r="K105" s="14">
        <v>0.51081695000000005</v>
      </c>
      <c r="L105" s="5">
        <f t="shared" si="8"/>
        <v>0.16725755238347564</v>
      </c>
      <c r="M105">
        <v>0.61341528999999995</v>
      </c>
    </row>
    <row r="106" spans="1:13" x14ac:dyDescent="0.3">
      <c r="A106" t="s">
        <v>33</v>
      </c>
      <c r="B106">
        <v>0.72759359999999995</v>
      </c>
      <c r="C106">
        <v>0.71595229999999999</v>
      </c>
      <c r="D106" s="5">
        <f t="shared" si="6"/>
        <v>4.7238037842394255E-3</v>
      </c>
      <c r="F106">
        <v>0.66280870999999997</v>
      </c>
      <c r="G106">
        <v>0.651378499</v>
      </c>
      <c r="H106" s="5">
        <f t="shared" si="7"/>
        <v>9.4490631873866998E-2</v>
      </c>
      <c r="J106">
        <v>0.72583293999999998</v>
      </c>
      <c r="K106" s="14">
        <v>0.71653913999999996</v>
      </c>
      <c r="L106" s="5">
        <f t="shared" si="8"/>
        <v>3.9080121693689449E-3</v>
      </c>
      <c r="M106">
        <v>0.71935037000000002</v>
      </c>
    </row>
    <row r="107" spans="1:13" x14ac:dyDescent="0.3">
      <c r="A107" t="s">
        <v>34</v>
      </c>
      <c r="B107">
        <v>0.76429400000000003</v>
      </c>
      <c r="C107">
        <v>0.75404590999999999</v>
      </c>
      <c r="D107" s="5">
        <f t="shared" si="6"/>
        <v>5.1456580257064587E-2</v>
      </c>
      <c r="F107">
        <v>0.45314787000000001</v>
      </c>
      <c r="G107">
        <v>0.43429089500000001</v>
      </c>
      <c r="H107" s="5">
        <f t="shared" si="7"/>
        <v>0.45368874064111014</v>
      </c>
      <c r="J107">
        <v>0.73521671</v>
      </c>
      <c r="K107" s="14">
        <v>0.72608625999999998</v>
      </c>
      <c r="L107" s="5">
        <f t="shared" si="8"/>
        <v>8.6628101876770155E-2</v>
      </c>
      <c r="M107">
        <v>0.79495139000000004</v>
      </c>
    </row>
    <row r="108" spans="1:13" x14ac:dyDescent="0.3">
      <c r="A108" t="s">
        <v>17</v>
      </c>
      <c r="B108">
        <v>0.37846881999999998</v>
      </c>
      <c r="C108">
        <v>0.35120868999999999</v>
      </c>
      <c r="D108" s="5">
        <f t="shared" si="6"/>
        <v>0</v>
      </c>
      <c r="F108">
        <v>0.33914179999999999</v>
      </c>
      <c r="G108">
        <v>0.31615543299999999</v>
      </c>
      <c r="H108" s="5">
        <f t="shared" si="7"/>
        <v>9.9807487679191551E-2</v>
      </c>
      <c r="J108">
        <v>0.36498530000000001</v>
      </c>
      <c r="K108" s="14">
        <v>0.34289783000000001</v>
      </c>
      <c r="L108" s="5">
        <f t="shared" si="8"/>
        <v>2.3663594428714095E-2</v>
      </c>
      <c r="M108">
        <v>0.35120868999999999</v>
      </c>
    </row>
    <row r="109" spans="1:13" x14ac:dyDescent="0.3">
      <c r="A109" t="s">
        <v>35</v>
      </c>
      <c r="B109">
        <v>0.38516524000000002</v>
      </c>
      <c r="C109">
        <v>0.35721820999999998</v>
      </c>
      <c r="D109" s="5">
        <f t="shared" si="6"/>
        <v>0.10827534214944123</v>
      </c>
      <c r="F109">
        <v>0.16925074000000001</v>
      </c>
      <c r="G109">
        <v>0.139313826</v>
      </c>
      <c r="H109" s="5">
        <f t="shared" si="7"/>
        <v>0.65223056847045324</v>
      </c>
      <c r="J109">
        <v>0.27820201999999999</v>
      </c>
      <c r="K109" s="14">
        <v>0.25219128000000002</v>
      </c>
      <c r="L109" s="5">
        <f t="shared" si="8"/>
        <v>0.37045431454657785</v>
      </c>
      <c r="M109">
        <v>0.40059250000000002</v>
      </c>
    </row>
    <row r="110" spans="1:13" x14ac:dyDescent="0.3">
      <c r="A110" t="s">
        <v>15</v>
      </c>
      <c r="B110">
        <v>0.70065111000000002</v>
      </c>
      <c r="C110">
        <v>0.68597715000000004</v>
      </c>
      <c r="D110" s="5">
        <f t="shared" si="6"/>
        <v>3.9700086831733735E-3</v>
      </c>
      <c r="F110">
        <v>0.49199195000000001</v>
      </c>
      <c r="G110">
        <v>0.47226348299999998</v>
      </c>
      <c r="H110" s="5">
        <f t="shared" si="7"/>
        <v>0.31427950206250416</v>
      </c>
      <c r="J110">
        <v>0.64989237</v>
      </c>
      <c r="K110" s="14">
        <v>0.63629595999999999</v>
      </c>
      <c r="L110" s="5">
        <f t="shared" si="8"/>
        <v>7.6106457024506108E-2</v>
      </c>
      <c r="M110">
        <v>0.68871134000000001</v>
      </c>
    </row>
    <row r="111" spans="1:13" x14ac:dyDescent="0.3">
      <c r="A111" t="s">
        <v>11</v>
      </c>
      <c r="B111">
        <v>0.69528800000000002</v>
      </c>
      <c r="C111">
        <v>0.67941757999999997</v>
      </c>
      <c r="D111" s="5">
        <f t="shared" si="6"/>
        <v>8.3383364367392326E-2</v>
      </c>
      <c r="F111">
        <v>0.52333797000000004</v>
      </c>
      <c r="G111">
        <v>0.50368180500000004</v>
      </c>
      <c r="H111" s="5">
        <f t="shared" si="7"/>
        <v>0.32047221750067284</v>
      </c>
      <c r="J111">
        <v>0.69458275000000003</v>
      </c>
      <c r="K111" s="14">
        <v>0.68198822999999997</v>
      </c>
      <c r="L111" s="5">
        <f t="shared" si="8"/>
        <v>7.991524604995201E-2</v>
      </c>
      <c r="M111">
        <v>0.74122326999999999</v>
      </c>
    </row>
    <row r="112" spans="1:13" x14ac:dyDescent="0.3">
      <c r="A112" t="s">
        <v>10</v>
      </c>
      <c r="B112">
        <v>0.70107527999999997</v>
      </c>
      <c r="C112">
        <v>0.68517501999999997</v>
      </c>
      <c r="D112" s="5">
        <f t="shared" si="6"/>
        <v>2.6780242844795028E-2</v>
      </c>
      <c r="F112">
        <v>0.49441109</v>
      </c>
      <c r="G112">
        <v>0.473123132</v>
      </c>
      <c r="H112" s="5">
        <f t="shared" si="7"/>
        <v>0.32797786523281308</v>
      </c>
      <c r="J112">
        <v>0.68751059000000003</v>
      </c>
      <c r="K112" s="14">
        <v>0.67435314000000002</v>
      </c>
      <c r="L112" s="5">
        <f t="shared" si="8"/>
        <v>4.2151596321112247E-2</v>
      </c>
      <c r="M112">
        <v>0.70402909000000002</v>
      </c>
    </row>
    <row r="114" spans="1:19" ht="75.599999999999994" customHeight="1" x14ac:dyDescent="0.3">
      <c r="A114" s="25" t="s">
        <v>90</v>
      </c>
      <c r="B114" s="25"/>
      <c r="C114" s="25"/>
      <c r="D114" s="12" t="s">
        <v>32</v>
      </c>
      <c r="E114" s="12" t="s">
        <v>28</v>
      </c>
      <c r="H114" s="26" t="s">
        <v>89</v>
      </c>
      <c r="I114" s="26"/>
      <c r="J114" s="26"/>
      <c r="K114" s="10" t="s">
        <v>32</v>
      </c>
      <c r="L114" s="10" t="s">
        <v>28</v>
      </c>
      <c r="N114" s="9"/>
      <c r="O114" s="24" t="s">
        <v>91</v>
      </c>
      <c r="P114" s="24"/>
      <c r="Q114" s="24"/>
      <c r="R114" s="20" t="s">
        <v>32</v>
      </c>
      <c r="S114" s="20" t="s">
        <v>28</v>
      </c>
    </row>
    <row r="115" spans="1:19" x14ac:dyDescent="0.3">
      <c r="B115" t="s">
        <v>7</v>
      </c>
      <c r="D115">
        <f>VLOOKUP($B115,$A$93:$K$112,10,FALSE)</f>
        <v>0.49517787000000002</v>
      </c>
      <c r="E115">
        <f>VLOOKUP($B115,$A$93:$K$112,11,FALSE)</f>
        <v>0.4832997</v>
      </c>
      <c r="I115" t="s">
        <v>16</v>
      </c>
      <c r="K115">
        <f>VLOOKUP($I115,$A$93:$K$112,2,FALSE)</f>
        <v>0.63195338999999995</v>
      </c>
      <c r="L115">
        <f>VLOOKUP($I115,$A$93:$K$112,3,FALSE)</f>
        <v>0.61992572999999995</v>
      </c>
      <c r="P115" s="8" t="s">
        <v>18</v>
      </c>
      <c r="R115" s="8">
        <f>VLOOKUP($P115,$A$93:$K$112,2,FALSE)</f>
        <v>0.14794077999999999</v>
      </c>
      <c r="S115" s="8">
        <f>VLOOKUP($P115,$A$93:$K$112,3,FALSE)</f>
        <v>0.12258187</v>
      </c>
    </row>
    <row r="116" spans="1:19" x14ac:dyDescent="0.3">
      <c r="B116" t="s">
        <v>14</v>
      </c>
      <c r="D116">
        <f t="shared" ref="D116:D120" si="9">VLOOKUP($B116,$A$93:$K$112,10,FALSE)</f>
        <v>0.63961999000000003</v>
      </c>
      <c r="E116">
        <f t="shared" ref="E116:E120" si="10">VLOOKUP($B116,$A$93:$K$112,11,FALSE)</f>
        <v>0.63037947999999999</v>
      </c>
      <c r="I116" t="s">
        <v>22</v>
      </c>
      <c r="K116">
        <f t="shared" ref="K116:K120" si="11">VLOOKUP($I116,$A$93:$K$112,2,FALSE)</f>
        <v>0.75617529000000006</v>
      </c>
      <c r="L116">
        <f t="shared" ref="L116:L120" si="12">VLOOKUP($I116,$A$93:$K$112,3,FALSE)</f>
        <v>0.74752903000000004</v>
      </c>
      <c r="P116" t="s">
        <v>8</v>
      </c>
      <c r="R116">
        <f t="shared" ref="R116:R122" si="13">VLOOKUP($P116,$A$93:$K$112,2,FALSE)</f>
        <v>0.30121018999999999</v>
      </c>
      <c r="S116">
        <f t="shared" ref="S116:S122" si="14">VLOOKUP($P116,$A$93:$K$112,3,FALSE)</f>
        <v>0.27990563000000002</v>
      </c>
    </row>
    <row r="117" spans="1:19" x14ac:dyDescent="0.3">
      <c r="B117" t="s">
        <v>24</v>
      </c>
      <c r="D117">
        <f t="shared" si="9"/>
        <v>0.82795474000000002</v>
      </c>
      <c r="E117">
        <f t="shared" si="10"/>
        <v>0.82296793000000001</v>
      </c>
      <c r="I117" t="s">
        <v>12</v>
      </c>
      <c r="K117">
        <f t="shared" si="11"/>
        <v>0.67687470000000005</v>
      </c>
      <c r="L117">
        <f t="shared" si="12"/>
        <v>0.66516726000000004</v>
      </c>
      <c r="P117" s="8" t="s">
        <v>19</v>
      </c>
      <c r="Q117" s="8"/>
      <c r="R117" s="8">
        <f t="shared" si="13"/>
        <v>0.10137027</v>
      </c>
      <c r="S117" s="8">
        <f t="shared" si="14"/>
        <v>7.2382210000000002E-2</v>
      </c>
    </row>
    <row r="118" spans="1:19" x14ac:dyDescent="0.3">
      <c r="B118" t="s">
        <v>33</v>
      </c>
      <c r="D118">
        <f t="shared" si="9"/>
        <v>0.72583293999999998</v>
      </c>
      <c r="E118">
        <f t="shared" si="10"/>
        <v>0.71653913999999996</v>
      </c>
      <c r="I118" t="s">
        <v>21</v>
      </c>
      <c r="K118">
        <f t="shared" si="11"/>
        <v>0.50662196999999998</v>
      </c>
      <c r="L118">
        <f t="shared" si="12"/>
        <v>0.48807392999999999</v>
      </c>
      <c r="P118" s="8" t="s">
        <v>20</v>
      </c>
      <c r="Q118" s="8"/>
      <c r="R118" s="8">
        <f t="shared" si="13"/>
        <v>4.5160779999999998E-2</v>
      </c>
      <c r="S118" s="8">
        <f t="shared" si="14"/>
        <v>1.3543589999999999E-2</v>
      </c>
    </row>
    <row r="119" spans="1:19" x14ac:dyDescent="0.3">
      <c r="B119" t="s">
        <v>17</v>
      </c>
      <c r="D119">
        <f t="shared" si="9"/>
        <v>0.36498530000000001</v>
      </c>
      <c r="E119">
        <f t="shared" si="10"/>
        <v>0.34289783000000001</v>
      </c>
      <c r="I119" t="s">
        <v>34</v>
      </c>
      <c r="K119">
        <f t="shared" si="11"/>
        <v>0.76429400000000003</v>
      </c>
      <c r="L119">
        <f t="shared" si="12"/>
        <v>0.75404590999999999</v>
      </c>
      <c r="P119" t="s">
        <v>23</v>
      </c>
      <c r="R119">
        <f t="shared" si="13"/>
        <v>0.55475507999999996</v>
      </c>
      <c r="S119">
        <f t="shared" si="14"/>
        <v>0.53694527999999997</v>
      </c>
    </row>
    <row r="120" spans="1:19" x14ac:dyDescent="0.3">
      <c r="B120" t="s">
        <v>10</v>
      </c>
      <c r="D120">
        <f t="shared" si="9"/>
        <v>0.68751059000000003</v>
      </c>
      <c r="E120">
        <f t="shared" si="10"/>
        <v>0.67435314000000002</v>
      </c>
      <c r="I120" t="s">
        <v>15</v>
      </c>
      <c r="K120">
        <f t="shared" si="11"/>
        <v>0.70065111000000002</v>
      </c>
      <c r="L120">
        <f t="shared" si="12"/>
        <v>0.68597715000000004</v>
      </c>
      <c r="P120" t="s">
        <v>35</v>
      </c>
      <c r="R120">
        <f t="shared" si="13"/>
        <v>0.38516524000000002</v>
      </c>
      <c r="S120">
        <f t="shared" si="14"/>
        <v>0.35721820999999998</v>
      </c>
    </row>
    <row r="121" spans="1:19" x14ac:dyDescent="0.3">
      <c r="P121" t="s">
        <v>11</v>
      </c>
      <c r="R121">
        <f t="shared" si="13"/>
        <v>0.69528800000000002</v>
      </c>
      <c r="S121">
        <f t="shared" si="14"/>
        <v>0.67941757999999997</v>
      </c>
    </row>
    <row r="122" spans="1:19" x14ac:dyDescent="0.3">
      <c r="P122" s="8" t="s">
        <v>9</v>
      </c>
      <c r="Q122" s="8"/>
      <c r="R122" s="8">
        <f t="shared" si="13"/>
        <v>0.158413</v>
      </c>
      <c r="S122" s="8">
        <f t="shared" si="14"/>
        <v>0.13243809000000001</v>
      </c>
    </row>
  </sheetData>
  <autoFilter ref="A20:M40"/>
  <mergeCells count="9">
    <mergeCell ref="O114:Q114"/>
    <mergeCell ref="A114:C114"/>
    <mergeCell ref="H114:J114"/>
    <mergeCell ref="A19:K19"/>
    <mergeCell ref="A43:K43"/>
    <mergeCell ref="A67:K67"/>
    <mergeCell ref="A91:D91"/>
    <mergeCell ref="E91:H91"/>
    <mergeCell ref="I91:L9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69"/>
  <sheetViews>
    <sheetView workbookViewId="0">
      <selection activeCell="D13" sqref="D13"/>
    </sheetView>
  </sheetViews>
  <sheetFormatPr defaultRowHeight="14.4" x14ac:dyDescent="0.3"/>
  <cols>
    <col min="6" max="6" width="11.6640625" bestFit="1" customWidth="1"/>
    <col min="8" max="8" width="12.33203125" customWidth="1"/>
    <col min="14" max="14" width="11.6640625" bestFit="1" customWidth="1"/>
    <col min="15" max="15" width="13" customWidth="1"/>
    <col min="17" max="17" width="11.6640625" bestFit="1" customWidth="1"/>
  </cols>
  <sheetData>
    <row r="3" spans="2:17" x14ac:dyDescent="0.3">
      <c r="B3" t="s">
        <v>25</v>
      </c>
      <c r="K3" t="s">
        <v>26</v>
      </c>
    </row>
    <row r="5" spans="2:17" x14ac:dyDescent="0.3"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K5" s="2" t="s">
        <v>0</v>
      </c>
      <c r="L5" s="2" t="s">
        <v>1</v>
      </c>
      <c r="M5" s="2" t="s">
        <v>2</v>
      </c>
      <c r="N5" s="2" t="s">
        <v>3</v>
      </c>
      <c r="O5" s="2" t="s">
        <v>4</v>
      </c>
      <c r="P5" s="2" t="s">
        <v>5</v>
      </c>
      <c r="Q5" s="2" t="s">
        <v>6</v>
      </c>
    </row>
    <row r="6" spans="2:17" x14ac:dyDescent="0.3">
      <c r="B6" t="s">
        <v>7</v>
      </c>
      <c r="C6">
        <v>226</v>
      </c>
      <c r="D6">
        <v>0.75361710000000004</v>
      </c>
      <c r="E6">
        <v>-0.37124443000000001</v>
      </c>
      <c r="F6">
        <v>0.28524235999999997</v>
      </c>
      <c r="G6">
        <v>-0.40185331000000002</v>
      </c>
      <c r="H6">
        <v>-0.37248100000000001</v>
      </c>
      <c r="K6" t="s">
        <v>7</v>
      </c>
      <c r="L6">
        <v>226</v>
      </c>
      <c r="M6">
        <v>0.78270130000000004</v>
      </c>
      <c r="N6">
        <v>-0.40136054999999998</v>
      </c>
      <c r="O6">
        <v>0.33770933199999997</v>
      </c>
      <c r="P6">
        <v>-0.53365130000000005</v>
      </c>
      <c r="Q6">
        <v>-0.47243640999999997</v>
      </c>
    </row>
    <row r="7" spans="2:17" x14ac:dyDescent="0.3">
      <c r="B7" t="s">
        <v>8</v>
      </c>
      <c r="C7">
        <v>223</v>
      </c>
      <c r="D7">
        <v>0.88752180000000003</v>
      </c>
      <c r="E7">
        <v>5.3839730000000002E-2</v>
      </c>
      <c r="F7">
        <v>-0.13414381</v>
      </c>
      <c r="G7">
        <v>-0.37695567000000002</v>
      </c>
      <c r="H7">
        <v>-0.48995991999999999</v>
      </c>
      <c r="K7" t="s">
        <v>8</v>
      </c>
      <c r="L7">
        <v>223</v>
      </c>
      <c r="M7">
        <v>0.88737960000000005</v>
      </c>
      <c r="N7">
        <v>7.9733330000000005E-2</v>
      </c>
      <c r="O7">
        <v>-0.14449867199999999</v>
      </c>
      <c r="P7">
        <v>-0.39215503000000002</v>
      </c>
      <c r="Q7">
        <v>-0.50823021000000002</v>
      </c>
    </row>
    <row r="8" spans="2:17" x14ac:dyDescent="0.3">
      <c r="B8" t="s">
        <v>9</v>
      </c>
      <c r="C8">
        <v>222</v>
      </c>
      <c r="D8">
        <v>0.90926130000000005</v>
      </c>
      <c r="E8">
        <v>2.6499680000000001E-2</v>
      </c>
      <c r="F8">
        <v>-6.2687229999999997E-2</v>
      </c>
      <c r="G8">
        <v>-0.15265393999999999</v>
      </c>
      <c r="H8">
        <v>-0.25915125</v>
      </c>
      <c r="K8" t="s">
        <v>9</v>
      </c>
      <c r="L8">
        <v>222</v>
      </c>
      <c r="M8">
        <v>0.87773009999999996</v>
      </c>
      <c r="N8">
        <v>1.714854E-2</v>
      </c>
      <c r="O8">
        <v>-4.5459843E-2</v>
      </c>
      <c r="P8">
        <v>-0.32234309</v>
      </c>
      <c r="Q8">
        <v>-0.37681471999999999</v>
      </c>
    </row>
    <row r="9" spans="2:17" x14ac:dyDescent="0.3">
      <c r="B9" t="s">
        <v>10</v>
      </c>
      <c r="C9">
        <v>170</v>
      </c>
      <c r="D9">
        <v>0.5478674</v>
      </c>
      <c r="E9">
        <v>-0.26932464</v>
      </c>
      <c r="F9">
        <v>0.38907979999999998</v>
      </c>
      <c r="G9">
        <v>-0.26032201999999999</v>
      </c>
      <c r="H9">
        <v>-0.2783349</v>
      </c>
      <c r="K9" t="s">
        <v>10</v>
      </c>
      <c r="L9">
        <v>170</v>
      </c>
      <c r="M9">
        <v>0.64664109999999997</v>
      </c>
      <c r="N9">
        <v>-0.35172044000000002</v>
      </c>
      <c r="O9">
        <v>0.323495017</v>
      </c>
      <c r="P9">
        <v>-0.35927042999999997</v>
      </c>
      <c r="Q9">
        <v>-0.33668136999999998</v>
      </c>
    </row>
    <row r="10" spans="2:17" x14ac:dyDescent="0.3">
      <c r="B10" t="s">
        <v>11</v>
      </c>
      <c r="C10">
        <v>174</v>
      </c>
      <c r="D10">
        <v>0.62424900000000005</v>
      </c>
      <c r="E10">
        <v>-0.22242961999999999</v>
      </c>
      <c r="F10">
        <v>0.34426151999999999</v>
      </c>
      <c r="G10">
        <v>-0.15544838999999999</v>
      </c>
      <c r="H10">
        <v>-0.21051545999999999</v>
      </c>
      <c r="K10" t="s">
        <v>11</v>
      </c>
      <c r="L10">
        <v>174</v>
      </c>
      <c r="M10">
        <v>0.67736589999999997</v>
      </c>
      <c r="N10">
        <v>-0.28706584000000002</v>
      </c>
      <c r="O10">
        <v>0.29218398800000001</v>
      </c>
      <c r="P10">
        <v>-0.23171316</v>
      </c>
      <c r="Q10">
        <v>-0.24931859000000001</v>
      </c>
    </row>
    <row r="11" spans="2:17" x14ac:dyDescent="0.3">
      <c r="B11" t="s">
        <v>12</v>
      </c>
      <c r="C11">
        <v>183</v>
      </c>
      <c r="D11">
        <v>0.78879299999999997</v>
      </c>
      <c r="E11">
        <v>-0.17529828</v>
      </c>
      <c r="F11">
        <v>0.12006976</v>
      </c>
      <c r="G11">
        <v>-0.36115849</v>
      </c>
      <c r="H11">
        <v>-0.41347715000000002</v>
      </c>
      <c r="K11" t="s">
        <v>12</v>
      </c>
      <c r="L11">
        <v>183</v>
      </c>
      <c r="M11">
        <v>0.77507859999999995</v>
      </c>
      <c r="N11">
        <v>-0.20348666000000001</v>
      </c>
      <c r="O11">
        <v>0.12159708399999999</v>
      </c>
      <c r="P11">
        <v>-0.45308876999999997</v>
      </c>
      <c r="Q11">
        <v>-0.51292455000000003</v>
      </c>
    </row>
    <row r="12" spans="2:17" x14ac:dyDescent="0.3">
      <c r="B12" t="s">
        <v>13</v>
      </c>
      <c r="C12">
        <v>167</v>
      </c>
      <c r="D12">
        <v>0.48799999999999999</v>
      </c>
      <c r="E12">
        <v>-0.14450872000000001</v>
      </c>
      <c r="F12">
        <v>0.1490525</v>
      </c>
      <c r="G12">
        <v>-9.4054330000000005E-2</v>
      </c>
      <c r="H12">
        <v>-8.8711300000000007E-2</v>
      </c>
      <c r="K12" t="s">
        <v>13</v>
      </c>
      <c r="L12">
        <v>167</v>
      </c>
      <c r="M12">
        <v>0.58009840000000001</v>
      </c>
      <c r="N12">
        <v>-0.25457311999999999</v>
      </c>
      <c r="O12">
        <v>0.26207317000000002</v>
      </c>
      <c r="P12">
        <v>-0.15329034</v>
      </c>
      <c r="Q12">
        <v>-8.3918720000000002E-2</v>
      </c>
    </row>
    <row r="13" spans="2:17" x14ac:dyDescent="0.3">
      <c r="B13" t="s">
        <v>14</v>
      </c>
      <c r="C13">
        <v>212</v>
      </c>
      <c r="D13">
        <v>0.75370950000000003</v>
      </c>
      <c r="E13">
        <v>-0.42257011999999999</v>
      </c>
      <c r="F13">
        <v>0.53842962000000005</v>
      </c>
      <c r="G13">
        <v>-0.30188841999999999</v>
      </c>
      <c r="H13">
        <v>-0.23256853999999999</v>
      </c>
      <c r="K13" t="s">
        <v>14</v>
      </c>
      <c r="L13">
        <v>212</v>
      </c>
      <c r="M13">
        <v>0.73664030000000003</v>
      </c>
      <c r="N13">
        <v>-0.5291612</v>
      </c>
      <c r="O13">
        <v>0.56959480100000004</v>
      </c>
      <c r="P13">
        <v>-0.48894180999999998</v>
      </c>
      <c r="Q13">
        <v>-0.36217484999999999</v>
      </c>
    </row>
    <row r="14" spans="2:17" x14ac:dyDescent="0.3">
      <c r="B14" t="s">
        <v>15</v>
      </c>
      <c r="C14">
        <v>140</v>
      </c>
      <c r="D14">
        <v>0.61670840000000005</v>
      </c>
      <c r="E14">
        <v>-0.37549143000000001</v>
      </c>
      <c r="F14">
        <v>0.32355692000000003</v>
      </c>
      <c r="G14">
        <v>-0.39484107000000002</v>
      </c>
      <c r="H14">
        <v>-0.30006970999999999</v>
      </c>
      <c r="K14" t="s">
        <v>15</v>
      </c>
      <c r="L14">
        <v>140</v>
      </c>
      <c r="M14">
        <v>0.67325570000000001</v>
      </c>
      <c r="N14">
        <v>-0.42393498000000002</v>
      </c>
      <c r="O14">
        <v>0.35666848200000001</v>
      </c>
      <c r="P14">
        <v>-0.49420557999999998</v>
      </c>
      <c r="Q14">
        <v>-0.38099820000000001</v>
      </c>
    </row>
    <row r="15" spans="2:17" x14ac:dyDescent="0.3">
      <c r="B15" t="s">
        <v>16</v>
      </c>
      <c r="C15">
        <v>186</v>
      </c>
      <c r="D15">
        <v>0.87694039999999995</v>
      </c>
      <c r="E15">
        <v>-6.0929669999999998E-2</v>
      </c>
      <c r="F15">
        <v>0.15814587999999999</v>
      </c>
      <c r="G15">
        <v>-0.10043364</v>
      </c>
      <c r="H15">
        <v>-0.18243989999999999</v>
      </c>
      <c r="K15" t="s">
        <v>16</v>
      </c>
      <c r="L15">
        <v>186</v>
      </c>
      <c r="M15">
        <v>0.87804499999999996</v>
      </c>
      <c r="N15">
        <v>-9.9133170000000007E-2</v>
      </c>
      <c r="O15">
        <v>0.14118531200000001</v>
      </c>
      <c r="P15">
        <v>-0.29193498000000001</v>
      </c>
      <c r="Q15">
        <v>-0.36732778999999999</v>
      </c>
    </row>
    <row r="16" spans="2:17" x14ac:dyDescent="0.3">
      <c r="B16" t="s">
        <v>17</v>
      </c>
      <c r="C16">
        <v>190</v>
      </c>
      <c r="D16">
        <v>0.72080460000000002</v>
      </c>
      <c r="E16">
        <v>-0.25083659000000003</v>
      </c>
      <c r="F16">
        <v>0.23433200000000001</v>
      </c>
      <c r="G16">
        <v>-0.40240782000000003</v>
      </c>
      <c r="H16">
        <v>-0.41925086</v>
      </c>
      <c r="K16" t="s">
        <v>17</v>
      </c>
      <c r="L16">
        <v>190</v>
      </c>
      <c r="M16">
        <v>0.69482949999999999</v>
      </c>
      <c r="N16">
        <v>-0.25854199999999999</v>
      </c>
      <c r="O16">
        <v>0.19764465000000001</v>
      </c>
      <c r="P16">
        <v>-0.40663609000000001</v>
      </c>
      <c r="Q16">
        <v>-0.47324117999999998</v>
      </c>
    </row>
    <row r="17" spans="2:17" x14ac:dyDescent="0.3">
      <c r="B17" t="s">
        <v>18</v>
      </c>
      <c r="C17">
        <v>223</v>
      </c>
      <c r="D17">
        <v>0.90011669999999999</v>
      </c>
      <c r="E17">
        <v>-8.1727019999999997E-2</v>
      </c>
      <c r="F17">
        <v>0.16925388999999999</v>
      </c>
      <c r="G17">
        <v>-3.9900930000000001E-2</v>
      </c>
      <c r="H17">
        <v>-7.9905180000000006E-2</v>
      </c>
      <c r="K17" t="s">
        <v>18</v>
      </c>
      <c r="L17">
        <v>223</v>
      </c>
      <c r="M17">
        <v>0.89266129999999999</v>
      </c>
      <c r="N17">
        <v>-0.13425474000000001</v>
      </c>
      <c r="O17">
        <v>0.17158230799999999</v>
      </c>
      <c r="P17">
        <v>-0.10745502</v>
      </c>
      <c r="Q17">
        <v>-0.15732165000000001</v>
      </c>
    </row>
    <row r="18" spans="2:17" x14ac:dyDescent="0.3">
      <c r="B18" t="s">
        <v>19</v>
      </c>
      <c r="C18">
        <v>216</v>
      </c>
      <c r="D18">
        <v>0.79890490000000003</v>
      </c>
      <c r="E18">
        <v>-0.21420021</v>
      </c>
      <c r="F18">
        <v>0.23630831999999999</v>
      </c>
      <c r="G18">
        <v>-0.23371021</v>
      </c>
      <c r="H18">
        <v>-0.19210363</v>
      </c>
      <c r="K18" t="s">
        <v>19</v>
      </c>
      <c r="L18">
        <v>216</v>
      </c>
      <c r="M18">
        <v>0.65259049999999996</v>
      </c>
      <c r="N18">
        <v>-0.42239427000000002</v>
      </c>
      <c r="O18">
        <v>0.36929478999999998</v>
      </c>
      <c r="P18">
        <v>-0.39460817999999998</v>
      </c>
      <c r="Q18">
        <v>-0.31505564000000003</v>
      </c>
    </row>
    <row r="19" spans="2:17" x14ac:dyDescent="0.3">
      <c r="B19" t="s">
        <v>20</v>
      </c>
      <c r="C19">
        <v>212</v>
      </c>
      <c r="D19">
        <v>0.89663470000000001</v>
      </c>
      <c r="E19">
        <v>5.8111459999999997E-2</v>
      </c>
      <c r="F19">
        <v>-6.1779899999999999E-2</v>
      </c>
      <c r="G19">
        <v>-7.3568270000000005E-2</v>
      </c>
      <c r="H19">
        <v>-0.13036553000000001</v>
      </c>
      <c r="K19" t="s">
        <v>20</v>
      </c>
      <c r="L19">
        <v>212</v>
      </c>
      <c r="M19">
        <v>0.87579649999999998</v>
      </c>
      <c r="N19">
        <v>7.8674910000000001E-2</v>
      </c>
      <c r="O19">
        <v>-6.5364684000000006E-2</v>
      </c>
      <c r="P19">
        <v>-3.7917729999999997E-2</v>
      </c>
      <c r="Q19">
        <v>-0.13821195</v>
      </c>
    </row>
    <row r="20" spans="2:17" x14ac:dyDescent="0.3">
      <c r="B20" t="s">
        <v>21</v>
      </c>
      <c r="C20">
        <v>206</v>
      </c>
      <c r="D20">
        <v>0.75466690000000003</v>
      </c>
      <c r="E20">
        <v>-0.35274534000000002</v>
      </c>
      <c r="F20">
        <v>0.53041033999999998</v>
      </c>
      <c r="G20">
        <v>-0.31528645999999999</v>
      </c>
      <c r="H20">
        <v>-0.27619366000000001</v>
      </c>
      <c r="K20" t="s">
        <v>21</v>
      </c>
      <c r="L20">
        <v>206</v>
      </c>
      <c r="M20">
        <v>0.76681560000000004</v>
      </c>
      <c r="N20">
        <v>-0.43592553000000001</v>
      </c>
      <c r="O20">
        <v>0.54292675300000004</v>
      </c>
      <c r="P20">
        <v>-0.28713888999999998</v>
      </c>
      <c r="Q20">
        <v>-0.23370294</v>
      </c>
    </row>
    <row r="21" spans="2:17" x14ac:dyDescent="0.3">
      <c r="B21" t="s">
        <v>22</v>
      </c>
      <c r="C21">
        <v>195</v>
      </c>
      <c r="D21">
        <v>0.6960248</v>
      </c>
      <c r="E21">
        <v>-0.52587298999999998</v>
      </c>
      <c r="F21">
        <v>0.79220288999999999</v>
      </c>
      <c r="G21">
        <v>-0.36870971000000002</v>
      </c>
      <c r="H21">
        <v>-0.34895130000000002</v>
      </c>
      <c r="K21" t="s">
        <v>22</v>
      </c>
      <c r="L21">
        <v>195</v>
      </c>
      <c r="M21">
        <v>0.76007610000000003</v>
      </c>
      <c r="N21">
        <v>-0.60069746999999996</v>
      </c>
      <c r="O21">
        <v>0.784614582</v>
      </c>
      <c r="P21">
        <v>-0.43732311000000001</v>
      </c>
      <c r="Q21">
        <v>-0.37821832999999999</v>
      </c>
    </row>
    <row r="22" spans="2:17" x14ac:dyDescent="0.3">
      <c r="B22" t="s">
        <v>23</v>
      </c>
      <c r="C22">
        <v>194</v>
      </c>
      <c r="D22">
        <v>0.7295045</v>
      </c>
      <c r="E22">
        <v>-6.0112190000000003E-2</v>
      </c>
      <c r="F22">
        <v>7.1796150000000003E-2</v>
      </c>
      <c r="G22">
        <v>-0.46919425999999997</v>
      </c>
      <c r="H22">
        <v>-0.63955494999999996</v>
      </c>
      <c r="K22" t="s">
        <v>23</v>
      </c>
      <c r="L22">
        <v>194</v>
      </c>
      <c r="M22">
        <v>0.70685220000000004</v>
      </c>
      <c r="N22">
        <v>-4.5175649999999998E-2</v>
      </c>
      <c r="O22">
        <v>-5.7645140000000001E-3</v>
      </c>
      <c r="P22">
        <v>-0.39354575000000003</v>
      </c>
      <c r="Q22">
        <v>-0.53347107000000005</v>
      </c>
    </row>
    <row r="23" spans="2:17" x14ac:dyDescent="0.3">
      <c r="B23" t="s">
        <v>24</v>
      </c>
      <c r="C23">
        <v>192</v>
      </c>
      <c r="D23">
        <v>0.72184879999999996</v>
      </c>
      <c r="E23">
        <v>-0.40485336</v>
      </c>
      <c r="F23">
        <v>0.57729041999999997</v>
      </c>
      <c r="G23">
        <v>-0.31493557</v>
      </c>
      <c r="H23">
        <v>-0.34437054</v>
      </c>
      <c r="K23" t="s">
        <v>24</v>
      </c>
      <c r="L23">
        <v>192</v>
      </c>
      <c r="M23">
        <v>0.74977419999999995</v>
      </c>
      <c r="N23">
        <v>-0.49815609</v>
      </c>
      <c r="O23">
        <v>0.54912148599999999</v>
      </c>
      <c r="P23">
        <v>-0.43747960000000002</v>
      </c>
      <c r="Q23">
        <v>-0.42879959000000001</v>
      </c>
    </row>
    <row r="26" spans="2:17" x14ac:dyDescent="0.3">
      <c r="B26" s="1" t="s">
        <v>27</v>
      </c>
    </row>
    <row r="28" spans="2:17" x14ac:dyDescent="0.3">
      <c r="B28" s="2" t="s">
        <v>0</v>
      </c>
      <c r="C28" s="2" t="s">
        <v>2</v>
      </c>
      <c r="D28" s="2" t="s">
        <v>3</v>
      </c>
      <c r="E28" s="2" t="s">
        <v>4</v>
      </c>
      <c r="F28" s="2" t="s">
        <v>5</v>
      </c>
      <c r="G28" s="2" t="s">
        <v>6</v>
      </c>
      <c r="H28" s="2" t="s">
        <v>28</v>
      </c>
    </row>
    <row r="29" spans="2:17" x14ac:dyDescent="0.3">
      <c r="B29" t="s">
        <v>7</v>
      </c>
      <c r="C29" s="3" t="s">
        <v>29</v>
      </c>
      <c r="D29" s="3" t="s">
        <v>29</v>
      </c>
      <c r="E29" s="3" t="s">
        <v>29</v>
      </c>
      <c r="F29" s="3" t="s">
        <v>29</v>
      </c>
      <c r="G29" s="3"/>
      <c r="H29">
        <v>0.7132385</v>
      </c>
    </row>
    <row r="30" spans="2:17" x14ac:dyDescent="0.3">
      <c r="B30" t="s">
        <v>8</v>
      </c>
      <c r="C30" s="3" t="s">
        <v>29</v>
      </c>
      <c r="D30" s="3"/>
      <c r="E30" s="3" t="s">
        <v>29</v>
      </c>
      <c r="F30" s="3" t="s">
        <v>29</v>
      </c>
      <c r="G30" s="3" t="s">
        <v>29</v>
      </c>
      <c r="H30">
        <v>0.85642110000000005</v>
      </c>
    </row>
    <row r="31" spans="2:17" x14ac:dyDescent="0.3">
      <c r="B31" t="s">
        <v>9</v>
      </c>
      <c r="C31" s="3" t="s">
        <v>29</v>
      </c>
      <c r="D31" s="3"/>
      <c r="E31" s="3" t="s">
        <v>29</v>
      </c>
      <c r="F31" s="3" t="s">
        <v>29</v>
      </c>
      <c r="G31" s="3" t="s">
        <v>29</v>
      </c>
      <c r="H31">
        <v>0.86945039999999996</v>
      </c>
    </row>
    <row r="32" spans="2:17" x14ac:dyDescent="0.3">
      <c r="B32" t="s">
        <v>10</v>
      </c>
      <c r="C32" s="3" t="s">
        <v>29</v>
      </c>
      <c r="D32" s="3" t="s">
        <v>29</v>
      </c>
      <c r="E32" s="3" t="s">
        <v>29</v>
      </c>
      <c r="F32" s="3"/>
      <c r="G32" s="3" t="s">
        <v>29</v>
      </c>
      <c r="H32">
        <v>0.54075569999999995</v>
      </c>
    </row>
    <row r="33" spans="2:8" x14ac:dyDescent="0.3">
      <c r="B33" t="s">
        <v>11</v>
      </c>
      <c r="C33" s="3" t="s">
        <v>29</v>
      </c>
      <c r="D33" s="3" t="s">
        <v>29</v>
      </c>
      <c r="E33" s="3" t="s">
        <v>29</v>
      </c>
      <c r="F33" s="3"/>
      <c r="G33" s="3" t="s">
        <v>29</v>
      </c>
      <c r="H33">
        <v>0.64332049999999996</v>
      </c>
    </row>
    <row r="34" spans="2:8" x14ac:dyDescent="0.3">
      <c r="B34" t="s">
        <v>12</v>
      </c>
      <c r="C34" s="3" t="s">
        <v>29</v>
      </c>
      <c r="D34" s="3" t="s">
        <v>29</v>
      </c>
      <c r="E34" s="3" t="s">
        <v>29</v>
      </c>
      <c r="F34" s="3" t="s">
        <v>29</v>
      </c>
      <c r="G34" s="3"/>
      <c r="H34">
        <v>0.80158039999999997</v>
      </c>
    </row>
    <row r="35" spans="2:8" x14ac:dyDescent="0.3">
      <c r="B35" t="s">
        <v>13</v>
      </c>
      <c r="C35" s="3" t="s">
        <v>29</v>
      </c>
      <c r="D35" s="3" t="s">
        <v>29</v>
      </c>
      <c r="E35" s="3" t="s">
        <v>29</v>
      </c>
      <c r="F35" s="3" t="s">
        <v>29</v>
      </c>
      <c r="G35" s="3"/>
      <c r="H35">
        <v>0.24395259999999999</v>
      </c>
    </row>
    <row r="36" spans="2:8" x14ac:dyDescent="0.3">
      <c r="B36" t="s">
        <v>14</v>
      </c>
      <c r="C36" s="3" t="s">
        <v>29</v>
      </c>
      <c r="D36" s="3" t="s">
        <v>29</v>
      </c>
      <c r="E36" s="3" t="s">
        <v>29</v>
      </c>
      <c r="F36" s="3" t="s">
        <v>29</v>
      </c>
      <c r="G36" s="3"/>
      <c r="H36">
        <v>0.80277149999999997</v>
      </c>
    </row>
    <row r="37" spans="2:8" x14ac:dyDescent="0.3">
      <c r="B37" t="s">
        <v>15</v>
      </c>
      <c r="C37" s="3" t="s">
        <v>29</v>
      </c>
      <c r="D37" s="3" t="s">
        <v>29</v>
      </c>
      <c r="E37" s="3" t="s">
        <v>29</v>
      </c>
      <c r="F37" s="3" t="s">
        <v>29</v>
      </c>
      <c r="G37" s="3"/>
      <c r="H37">
        <v>0.56609039999999999</v>
      </c>
    </row>
    <row r="38" spans="2:8" x14ac:dyDescent="0.3">
      <c r="B38" t="s">
        <v>16</v>
      </c>
      <c r="C38" s="3" t="s">
        <v>29</v>
      </c>
      <c r="D38" s="3" t="s">
        <v>29</v>
      </c>
      <c r="E38" s="3" t="s">
        <v>29</v>
      </c>
      <c r="F38" s="3"/>
      <c r="G38" s="3" t="s">
        <v>29</v>
      </c>
      <c r="H38">
        <v>0.91795749999999998</v>
      </c>
    </row>
    <row r="39" spans="2:8" x14ac:dyDescent="0.3">
      <c r="B39" t="s">
        <v>17</v>
      </c>
      <c r="C39" s="3" t="s">
        <v>29</v>
      </c>
      <c r="D39" s="3" t="s">
        <v>29</v>
      </c>
      <c r="E39" s="3" t="s">
        <v>29</v>
      </c>
      <c r="F39" s="3" t="s">
        <v>29</v>
      </c>
      <c r="G39" s="3"/>
      <c r="H39">
        <v>0.66341170000000005</v>
      </c>
    </row>
    <row r="40" spans="2:8" x14ac:dyDescent="0.3">
      <c r="B40" t="s">
        <v>18</v>
      </c>
      <c r="C40" s="3" t="s">
        <v>29</v>
      </c>
      <c r="D40" s="3" t="s">
        <v>29</v>
      </c>
      <c r="E40" s="3" t="s">
        <v>29</v>
      </c>
      <c r="F40" s="3"/>
      <c r="G40" s="3" t="s">
        <v>29</v>
      </c>
      <c r="H40">
        <v>0.84420099999999998</v>
      </c>
    </row>
    <row r="41" spans="2:8" x14ac:dyDescent="0.3">
      <c r="B41" t="s">
        <v>19</v>
      </c>
      <c r="C41" s="3" t="s">
        <v>29</v>
      </c>
      <c r="D41" s="3"/>
      <c r="E41" s="3" t="s">
        <v>29</v>
      </c>
      <c r="F41" s="3" t="s">
        <v>29</v>
      </c>
      <c r="G41" s="3" t="s">
        <v>29</v>
      </c>
      <c r="H41">
        <v>0.68194880000000002</v>
      </c>
    </row>
    <row r="42" spans="2:8" x14ac:dyDescent="0.3">
      <c r="B42" t="s">
        <v>20</v>
      </c>
      <c r="C42" s="3" t="s">
        <v>29</v>
      </c>
      <c r="D42" s="3"/>
      <c r="E42" s="3" t="s">
        <v>29</v>
      </c>
      <c r="F42" s="3" t="s">
        <v>29</v>
      </c>
      <c r="G42" s="3" t="s">
        <v>29</v>
      </c>
      <c r="H42">
        <v>0.80817799999999995</v>
      </c>
    </row>
    <row r="43" spans="2:8" x14ac:dyDescent="0.3">
      <c r="B43" t="s">
        <v>21</v>
      </c>
      <c r="C43" s="3" t="s">
        <v>29</v>
      </c>
      <c r="D43" s="3" t="s">
        <v>29</v>
      </c>
      <c r="E43" s="3" t="s">
        <v>29</v>
      </c>
      <c r="F43" s="3" t="s">
        <v>29</v>
      </c>
      <c r="G43" s="3"/>
      <c r="H43">
        <v>0.74396059999999997</v>
      </c>
    </row>
    <row r="44" spans="2:8" x14ac:dyDescent="0.3">
      <c r="B44" t="s">
        <v>22</v>
      </c>
      <c r="C44" s="3" t="s">
        <v>29</v>
      </c>
      <c r="D44" s="3" t="s">
        <v>29</v>
      </c>
      <c r="E44" s="3" t="s">
        <v>29</v>
      </c>
      <c r="F44" s="3"/>
      <c r="G44" s="3" t="s">
        <v>29</v>
      </c>
      <c r="H44">
        <v>0.76914260000000001</v>
      </c>
    </row>
    <row r="45" spans="2:8" x14ac:dyDescent="0.3">
      <c r="B45" t="s">
        <v>23</v>
      </c>
      <c r="C45" s="3" t="s">
        <v>29</v>
      </c>
      <c r="D45" s="3"/>
      <c r="E45" s="3" t="s">
        <v>29</v>
      </c>
      <c r="F45" s="3" t="s">
        <v>29</v>
      </c>
      <c r="G45" s="3" t="s">
        <v>29</v>
      </c>
      <c r="H45">
        <v>0.69048759999999998</v>
      </c>
    </row>
    <row r="46" spans="2:8" x14ac:dyDescent="0.3">
      <c r="B46" t="s">
        <v>24</v>
      </c>
      <c r="C46" s="3" t="s">
        <v>29</v>
      </c>
      <c r="D46" s="3" t="s">
        <v>29</v>
      </c>
      <c r="E46" s="3" t="s">
        <v>29</v>
      </c>
      <c r="F46" s="3"/>
      <c r="G46" s="3" t="s">
        <v>29</v>
      </c>
      <c r="H46">
        <v>0.84044260000000004</v>
      </c>
    </row>
    <row r="49" spans="2:15" x14ac:dyDescent="0.3">
      <c r="B49" s="1" t="s">
        <v>30</v>
      </c>
      <c r="J49" s="1" t="s">
        <v>31</v>
      </c>
    </row>
    <row r="51" spans="2:15" x14ac:dyDescent="0.3">
      <c r="B51" s="2" t="s">
        <v>0</v>
      </c>
      <c r="C51" s="2" t="s">
        <v>3</v>
      </c>
      <c r="D51" s="2" t="s">
        <v>4</v>
      </c>
      <c r="E51" s="2" t="s">
        <v>5</v>
      </c>
      <c r="F51" s="2" t="s">
        <v>6</v>
      </c>
      <c r="G51" s="2" t="s">
        <v>28</v>
      </c>
      <c r="J51" s="2" t="s">
        <v>0</v>
      </c>
      <c r="K51" s="2" t="s">
        <v>3</v>
      </c>
      <c r="L51" s="2" t="s">
        <v>4</v>
      </c>
      <c r="M51" s="2" t="s">
        <v>5</v>
      </c>
      <c r="N51" s="2" t="s">
        <v>6</v>
      </c>
      <c r="O51" s="2" t="s">
        <v>32</v>
      </c>
    </row>
    <row r="52" spans="2:15" x14ac:dyDescent="0.3">
      <c r="B52" t="s">
        <v>7</v>
      </c>
      <c r="C52" t="b">
        <v>1</v>
      </c>
      <c r="D52" t="b">
        <v>1</v>
      </c>
      <c r="E52" t="b">
        <v>1</v>
      </c>
      <c r="F52" t="b">
        <v>1</v>
      </c>
      <c r="G52">
        <v>0.24830273</v>
      </c>
      <c r="J52" t="s">
        <v>7</v>
      </c>
      <c r="K52" t="b">
        <v>1</v>
      </c>
      <c r="L52" t="b">
        <v>0</v>
      </c>
      <c r="M52" t="b">
        <v>1</v>
      </c>
      <c r="N52" t="b">
        <v>1</v>
      </c>
      <c r="O52">
        <v>0.25778436999999998</v>
      </c>
    </row>
    <row r="53" spans="2:15" x14ac:dyDescent="0.3">
      <c r="B53" t="s">
        <v>8</v>
      </c>
      <c r="C53" t="b">
        <v>1</v>
      </c>
      <c r="D53" t="b">
        <v>1</v>
      </c>
      <c r="E53" t="b">
        <v>1</v>
      </c>
      <c r="F53" t="b">
        <v>1</v>
      </c>
      <c r="G53">
        <v>0.29369768000000002</v>
      </c>
      <c r="J53" t="s">
        <v>8</v>
      </c>
      <c r="K53" t="b">
        <v>0</v>
      </c>
      <c r="L53" t="b">
        <v>1</v>
      </c>
      <c r="M53" t="b">
        <v>1</v>
      </c>
      <c r="N53" t="b">
        <v>1</v>
      </c>
      <c r="O53">
        <v>0.30324231000000001</v>
      </c>
    </row>
    <row r="54" spans="2:15" x14ac:dyDescent="0.3">
      <c r="B54" t="s">
        <v>9</v>
      </c>
      <c r="C54" t="b">
        <v>1</v>
      </c>
      <c r="D54" t="b">
        <v>1</v>
      </c>
      <c r="E54" t="b">
        <v>1</v>
      </c>
      <c r="F54" t="b">
        <v>1</v>
      </c>
      <c r="G54">
        <v>6.9367429999999994E-2</v>
      </c>
      <c r="J54" t="s">
        <v>9</v>
      </c>
      <c r="K54" t="b">
        <v>1</v>
      </c>
      <c r="L54" t="b">
        <v>1</v>
      </c>
      <c r="M54" t="b">
        <v>0</v>
      </c>
      <c r="N54" t="b">
        <v>1</v>
      </c>
      <c r="O54">
        <v>7.7977169999999998E-2</v>
      </c>
    </row>
    <row r="55" spans="2:15" x14ac:dyDescent="0.3">
      <c r="B55" t="s">
        <v>10</v>
      </c>
      <c r="C55" t="b">
        <v>1</v>
      </c>
      <c r="D55" t="b">
        <v>1</v>
      </c>
      <c r="E55" t="b">
        <v>1</v>
      </c>
      <c r="F55" t="b">
        <v>1</v>
      </c>
      <c r="G55">
        <v>0.19320781000000001</v>
      </c>
      <c r="J55" t="s">
        <v>10</v>
      </c>
      <c r="K55" t="b">
        <v>1</v>
      </c>
      <c r="L55" t="b">
        <v>1</v>
      </c>
      <c r="M55" t="b">
        <v>0</v>
      </c>
      <c r="N55" t="b">
        <v>1</v>
      </c>
      <c r="O55">
        <v>0.20508546999999999</v>
      </c>
    </row>
    <row r="56" spans="2:15" x14ac:dyDescent="0.3">
      <c r="B56" t="s">
        <v>11</v>
      </c>
      <c r="C56" t="b">
        <v>1</v>
      </c>
      <c r="D56" t="b">
        <v>1</v>
      </c>
      <c r="E56" t="b">
        <v>1</v>
      </c>
      <c r="F56" t="b">
        <v>1</v>
      </c>
      <c r="G56">
        <v>0.14096976999999999</v>
      </c>
      <c r="J56" t="s">
        <v>11</v>
      </c>
      <c r="K56" t="b">
        <v>0</v>
      </c>
      <c r="L56" t="b">
        <v>1</v>
      </c>
      <c r="M56" t="b">
        <v>1</v>
      </c>
      <c r="N56" t="b">
        <v>1</v>
      </c>
      <c r="O56">
        <v>0.15586625000000001</v>
      </c>
    </row>
    <row r="57" spans="2:15" x14ac:dyDescent="0.3">
      <c r="B57" t="s">
        <v>12</v>
      </c>
      <c r="C57" t="b">
        <v>1</v>
      </c>
      <c r="D57" t="b">
        <v>1</v>
      </c>
      <c r="E57" t="b">
        <v>1</v>
      </c>
      <c r="F57" t="b">
        <v>1</v>
      </c>
      <c r="G57">
        <v>0.18123623999999999</v>
      </c>
      <c r="J57" t="s">
        <v>12</v>
      </c>
      <c r="K57" t="b">
        <v>1</v>
      </c>
      <c r="L57" t="b">
        <v>0</v>
      </c>
      <c r="M57" t="b">
        <v>1</v>
      </c>
      <c r="N57" t="b">
        <v>1</v>
      </c>
      <c r="O57">
        <v>0.19473234</v>
      </c>
    </row>
    <row r="58" spans="2:15" x14ac:dyDescent="0.3">
      <c r="B58" t="s">
        <v>13</v>
      </c>
      <c r="C58" t="b">
        <v>1</v>
      </c>
      <c r="D58" t="b">
        <v>1</v>
      </c>
      <c r="E58" t="b">
        <v>1</v>
      </c>
      <c r="F58" t="b">
        <v>1</v>
      </c>
      <c r="G58">
        <v>1.629069E-2</v>
      </c>
      <c r="J58" t="s">
        <v>13</v>
      </c>
      <c r="K58" t="b">
        <v>1</v>
      </c>
      <c r="L58" t="b">
        <v>1</v>
      </c>
      <c r="M58" t="b">
        <v>0</v>
      </c>
      <c r="N58" t="b">
        <v>1</v>
      </c>
      <c r="O58">
        <v>3.2921819999999997E-2</v>
      </c>
    </row>
    <row r="59" spans="2:15" x14ac:dyDescent="0.3">
      <c r="B59" t="s">
        <v>14</v>
      </c>
      <c r="C59" t="b">
        <v>1</v>
      </c>
      <c r="D59" t="b">
        <v>1</v>
      </c>
      <c r="E59" t="b">
        <v>1</v>
      </c>
      <c r="F59" t="b">
        <v>1</v>
      </c>
      <c r="G59">
        <v>0.32131198</v>
      </c>
      <c r="J59" t="s">
        <v>14</v>
      </c>
      <c r="K59" t="b">
        <v>1</v>
      </c>
      <c r="L59" t="b">
        <v>1</v>
      </c>
      <c r="M59" t="b">
        <v>0</v>
      </c>
      <c r="N59" t="b">
        <v>1</v>
      </c>
      <c r="O59">
        <v>0.33096157999999998</v>
      </c>
    </row>
    <row r="60" spans="2:15" x14ac:dyDescent="0.3">
      <c r="B60" t="s">
        <v>15</v>
      </c>
      <c r="C60" t="b">
        <v>1</v>
      </c>
      <c r="D60" t="b">
        <v>1</v>
      </c>
      <c r="E60" t="b">
        <v>1</v>
      </c>
      <c r="F60" t="b">
        <v>1</v>
      </c>
      <c r="G60">
        <v>0.21345959</v>
      </c>
      <c r="J60" t="s">
        <v>15</v>
      </c>
      <c r="K60" t="b">
        <v>1</v>
      </c>
      <c r="L60" t="b">
        <v>0</v>
      </c>
      <c r="M60" t="b">
        <v>1</v>
      </c>
      <c r="N60" t="b">
        <v>1</v>
      </c>
      <c r="O60">
        <v>0.22952214000000001</v>
      </c>
    </row>
    <row r="61" spans="2:15" x14ac:dyDescent="0.3">
      <c r="B61" t="s">
        <v>16</v>
      </c>
      <c r="C61" t="b">
        <v>1</v>
      </c>
      <c r="D61" t="b">
        <v>1</v>
      </c>
      <c r="E61" t="b">
        <v>1</v>
      </c>
      <c r="F61" t="b">
        <v>1</v>
      </c>
      <c r="G61">
        <v>4.0070469999999997E-2</v>
      </c>
      <c r="J61" t="s">
        <v>16</v>
      </c>
      <c r="K61" t="b">
        <v>0</v>
      </c>
      <c r="L61" t="b">
        <v>1</v>
      </c>
      <c r="M61" t="b">
        <v>1</v>
      </c>
      <c r="N61" t="b">
        <v>1</v>
      </c>
      <c r="O61">
        <v>5.2572630000000002E-2</v>
      </c>
    </row>
    <row r="62" spans="2:15" x14ac:dyDescent="0.3">
      <c r="B62" t="s">
        <v>17</v>
      </c>
      <c r="C62" t="b">
        <v>1</v>
      </c>
      <c r="D62" t="b">
        <v>1</v>
      </c>
      <c r="E62" t="b">
        <v>1</v>
      </c>
      <c r="F62" t="b">
        <v>1</v>
      </c>
      <c r="G62">
        <v>0.2210964</v>
      </c>
      <c r="J62" t="s">
        <v>17</v>
      </c>
      <c r="K62" t="b">
        <v>1</v>
      </c>
      <c r="L62" t="b">
        <v>0</v>
      </c>
      <c r="M62" t="b">
        <v>1</v>
      </c>
      <c r="N62" t="b">
        <v>1</v>
      </c>
      <c r="O62">
        <v>0.23345995</v>
      </c>
    </row>
    <row r="63" spans="2:15" x14ac:dyDescent="0.3">
      <c r="B63" t="s">
        <v>18</v>
      </c>
      <c r="C63" t="b">
        <v>1</v>
      </c>
      <c r="D63" t="b">
        <v>1</v>
      </c>
      <c r="E63" t="b">
        <v>1</v>
      </c>
      <c r="F63" t="b">
        <v>1</v>
      </c>
      <c r="G63">
        <v>2.4251620000000002E-2</v>
      </c>
      <c r="J63" t="s">
        <v>18</v>
      </c>
      <c r="K63" t="b">
        <v>0</v>
      </c>
      <c r="L63" t="b">
        <v>1</v>
      </c>
      <c r="M63" t="b">
        <v>1</v>
      </c>
      <c r="N63" t="b">
        <v>1</v>
      </c>
      <c r="O63">
        <v>3.6234820000000001E-2</v>
      </c>
    </row>
    <row r="64" spans="2:15" x14ac:dyDescent="0.3">
      <c r="B64" t="s">
        <v>19</v>
      </c>
      <c r="C64" t="b">
        <v>1</v>
      </c>
      <c r="D64" t="b">
        <v>1</v>
      </c>
      <c r="E64" t="b">
        <v>1</v>
      </c>
      <c r="F64" t="b">
        <v>1</v>
      </c>
      <c r="G64">
        <v>7.8659720000000002E-2</v>
      </c>
      <c r="J64" t="s">
        <v>19</v>
      </c>
      <c r="K64" t="b">
        <v>1</v>
      </c>
      <c r="L64" t="b">
        <v>1</v>
      </c>
      <c r="M64" t="b">
        <v>0</v>
      </c>
      <c r="N64" t="b">
        <v>1</v>
      </c>
      <c r="O64">
        <v>9.1515630000000001E-2</v>
      </c>
    </row>
    <row r="65" spans="2:15" x14ac:dyDescent="0.3">
      <c r="B65" t="s">
        <v>20</v>
      </c>
      <c r="C65" t="b">
        <v>1</v>
      </c>
      <c r="D65" t="b">
        <v>1</v>
      </c>
      <c r="E65" t="b">
        <v>1</v>
      </c>
      <c r="F65" t="b">
        <v>1</v>
      </c>
      <c r="G65">
        <v>1.4134519999999999E-2</v>
      </c>
      <c r="J65" t="s">
        <v>20</v>
      </c>
      <c r="K65" t="b">
        <v>1</v>
      </c>
      <c r="L65" t="b">
        <v>1</v>
      </c>
      <c r="M65" t="b">
        <v>0</v>
      </c>
      <c r="N65" t="b">
        <v>1</v>
      </c>
      <c r="O65">
        <v>2.4088490000000001E-2</v>
      </c>
    </row>
    <row r="66" spans="2:15" x14ac:dyDescent="0.3">
      <c r="B66" t="s">
        <v>21</v>
      </c>
      <c r="C66" t="b">
        <v>1</v>
      </c>
      <c r="D66" t="b">
        <v>1</v>
      </c>
      <c r="E66" t="b">
        <v>1</v>
      </c>
      <c r="F66" t="b">
        <v>1</v>
      </c>
      <c r="G66">
        <v>0.31802770000000002</v>
      </c>
      <c r="J66" t="s">
        <v>21</v>
      </c>
      <c r="K66" t="b">
        <v>1</v>
      </c>
      <c r="L66" t="b">
        <v>1</v>
      </c>
      <c r="M66" t="b">
        <v>0</v>
      </c>
      <c r="N66" t="b">
        <v>1</v>
      </c>
      <c r="O66">
        <v>0.32695147000000002</v>
      </c>
    </row>
    <row r="67" spans="2:15" x14ac:dyDescent="0.3">
      <c r="B67" t="s">
        <v>22</v>
      </c>
      <c r="C67" t="b">
        <v>1</v>
      </c>
      <c r="D67" t="b">
        <v>1</v>
      </c>
      <c r="E67" t="b">
        <v>1</v>
      </c>
      <c r="F67" t="b">
        <v>1</v>
      </c>
      <c r="G67">
        <v>0.67997510000000005</v>
      </c>
      <c r="J67" t="s">
        <v>22</v>
      </c>
      <c r="K67" t="b">
        <v>1</v>
      </c>
      <c r="L67" t="b">
        <v>1</v>
      </c>
      <c r="M67" t="b">
        <v>0</v>
      </c>
      <c r="N67" t="b">
        <v>1</v>
      </c>
      <c r="O67">
        <v>0.68195053999999999</v>
      </c>
    </row>
    <row r="68" spans="2:15" x14ac:dyDescent="0.3">
      <c r="B68" t="s">
        <v>23</v>
      </c>
      <c r="C68" t="b">
        <v>1</v>
      </c>
      <c r="D68" t="b">
        <v>1</v>
      </c>
      <c r="E68" t="b">
        <v>1</v>
      </c>
      <c r="F68" t="b">
        <v>1</v>
      </c>
      <c r="G68">
        <v>0.40838118000000001</v>
      </c>
      <c r="J68" t="s">
        <v>23</v>
      </c>
      <c r="K68" t="b">
        <v>1</v>
      </c>
      <c r="L68" t="b">
        <v>0</v>
      </c>
      <c r="M68" t="b">
        <v>1</v>
      </c>
      <c r="N68" t="b">
        <v>1</v>
      </c>
      <c r="O68">
        <v>0.41627512999999999</v>
      </c>
    </row>
    <row r="69" spans="2:15" x14ac:dyDescent="0.3">
      <c r="B69" t="s">
        <v>24</v>
      </c>
      <c r="C69" t="b">
        <v>1</v>
      </c>
      <c r="D69" t="b">
        <v>1</v>
      </c>
      <c r="E69" t="b">
        <v>1</v>
      </c>
      <c r="F69" t="b">
        <v>1</v>
      </c>
      <c r="G69">
        <v>0.40366111999999998</v>
      </c>
      <c r="J69" t="s">
        <v>24</v>
      </c>
      <c r="K69" t="b">
        <v>1</v>
      </c>
      <c r="L69" t="b">
        <v>1</v>
      </c>
      <c r="M69" t="b">
        <v>0</v>
      </c>
      <c r="N69" t="b">
        <v>1</v>
      </c>
      <c r="O69">
        <v>0.41217193000000002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5dc55a-e723-417d-bbd9-2b7384a510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CFF652E2B7794693435CC41F5B4CA1" ma:contentTypeVersion="18" ma:contentTypeDescription="Criar um novo documento." ma:contentTypeScope="" ma:versionID="2753c092c6e3650bfb39a0d5920becdb">
  <xsd:schema xmlns:xsd="http://www.w3.org/2001/XMLSchema" xmlns:xs="http://www.w3.org/2001/XMLSchema" xmlns:p="http://schemas.microsoft.com/office/2006/metadata/properties" xmlns:ns3="7b5dc55a-e723-417d-bbd9-2b7384a51092" xmlns:ns4="53b96b38-2798-47b2-a685-55ac0f3a25a3" targetNamespace="http://schemas.microsoft.com/office/2006/metadata/properties" ma:root="true" ma:fieldsID="ebc10ce64d22c41095b2c63fe6f6b3f8" ns3:_="" ns4:_="">
    <xsd:import namespace="7b5dc55a-e723-417d-bbd9-2b7384a51092"/>
    <xsd:import namespace="53b96b38-2798-47b2-a685-55ac0f3a25a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dc55a-e723-417d-bbd9-2b7384a510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b96b38-2798-47b2-a685-55ac0f3a25a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Sugestão de Partilh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8708EEF-3554-4A3F-B1A7-CCD4F989B1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8394E3-3502-4278-897E-CA609F09FC7F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purl.org/dc/elements/1.1/"/>
    <ds:schemaRef ds:uri="7b5dc55a-e723-417d-bbd9-2b7384a51092"/>
    <ds:schemaRef ds:uri="http://schemas.microsoft.com/office/2006/documentManagement/types"/>
    <ds:schemaRef ds:uri="http://purl.org/dc/terms/"/>
    <ds:schemaRef ds:uri="http://schemas.microsoft.com/office/infopath/2007/PartnerControls"/>
    <ds:schemaRef ds:uri="53b96b38-2798-47b2-a685-55ac0f3a25a3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0A63570-DE3B-4061-A252-6F16027443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5dc55a-e723-417d-bbd9-2b7384a51092"/>
    <ds:schemaRef ds:uri="53b96b38-2798-47b2-a685-55ac0f3a25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16Out</vt:lpstr>
      <vt:lpstr>12Out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João Teixeira Martins</dc:creator>
  <cp:lastModifiedBy>mjmartins</cp:lastModifiedBy>
  <dcterms:created xsi:type="dcterms:W3CDTF">2025-10-07T17:10:17Z</dcterms:created>
  <dcterms:modified xsi:type="dcterms:W3CDTF">2025-10-16T12:41:13Z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0x0101008ECFF652E2B7794693435CC41F5B4CA1</vt:lpwstr>
  </property>
</Properties>
</file>